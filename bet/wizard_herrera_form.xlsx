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\\usd1-srfs03\Branchshare\33680\Irrigation\2026 Irrigation\2026 Irrigation Inspections\Amazon DUS5 -Buda\March 2026\"/>
    </mc:Choice>
  </mc:AlternateContent>
  <xr:revisionPtr revIDLastSave="0" documentId="8_{FAAC7901-585F-4973-9E7D-7F50C6618F7A}" xr6:coauthVersionLast="47" xr6:coauthVersionMax="47" xr10:uidLastSave="{00000000-0000-0000-0000-000000000000}"/>
  <bookViews>
    <workbookView xWindow="0" yWindow="0" windowWidth="19200" windowHeight="8928" tabRatio="918" firstSheet="1" activeTab="1" xr2:uid="{00000000-000D-0000-FFFF-FFFF00000000}"/>
  </bookViews>
  <sheets>
    <sheet name="Cover" sheetId="24" state="hidden" r:id="rId1"/>
    <sheet name="Controller A (1)" sheetId="45" r:id="rId2"/>
    <sheet name="Controller A(2)" sheetId="1" r:id="rId3"/>
    <sheet name="7(1)-Comp" sheetId="11" state="hidden" r:id="rId4"/>
    <sheet name="7(2)-Comp" sheetId="36" state="hidden" r:id="rId5"/>
    <sheet name="Controller A (3)" sheetId="43" r:id="rId6"/>
    <sheet name="Controller B(1)" sheetId="46" r:id="rId7"/>
    <sheet name="Controller B(2)" sheetId="41" r:id="rId8"/>
    <sheet name="club(1)-Comp" sheetId="42" state="hidden" r:id="rId9"/>
    <sheet name="club(2)-Comp" sheetId="44" state="hidden" r:id="rId10"/>
    <sheet name="Mod" sheetId="34" state="hidden" r:id="rId1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0" i="41" l="1"/>
  <c r="AC40" i="41"/>
  <c r="AO40" i="41"/>
  <c r="AP40" i="41"/>
  <c r="R40" i="46"/>
  <c r="S40" i="46"/>
  <c r="U40" i="46"/>
  <c r="Y40" i="46"/>
  <c r="AB40" i="46"/>
  <c r="AC40" i="46"/>
  <c r="AD40" i="46"/>
  <c r="AG40" i="46"/>
  <c r="AO40" i="46"/>
  <c r="AP40" i="46"/>
  <c r="S40" i="1"/>
  <c r="U40" i="1"/>
  <c r="Y40" i="1"/>
  <c r="AA40" i="1"/>
  <c r="AB40" i="1"/>
  <c r="AC40" i="1"/>
  <c r="AD40" i="1"/>
  <c r="AO40" i="1"/>
  <c r="AP40" i="1"/>
  <c r="S40" i="45"/>
  <c r="U40" i="45"/>
  <c r="Y40" i="45"/>
  <c r="AA40" i="45"/>
  <c r="AC40" i="45"/>
  <c r="AD40" i="45"/>
  <c r="AG40" i="45"/>
  <c r="AH40" i="45"/>
  <c r="AK40" i="45"/>
  <c r="AO40" i="45"/>
  <c r="AP40" i="45"/>
  <c r="BH40" i="46"/>
  <c r="Q40" i="46"/>
  <c r="P40" i="46"/>
  <c r="O40" i="46"/>
  <c r="N40" i="46"/>
  <c r="M40" i="46"/>
  <c r="G12" i="46"/>
  <c r="G8" i="46"/>
  <c r="G7" i="46"/>
  <c r="G6" i="46"/>
  <c r="Q40" i="1"/>
  <c r="P40" i="1"/>
  <c r="O40" i="1"/>
  <c r="N40" i="1"/>
  <c r="M40" i="1"/>
  <c r="Q40" i="45"/>
  <c r="P40" i="45"/>
  <c r="O40" i="45"/>
  <c r="N40" i="45"/>
  <c r="M40" i="45"/>
  <c r="G12" i="43"/>
  <c r="G12" i="41"/>
  <c r="G8" i="43"/>
  <c r="G7" i="43"/>
  <c r="G6" i="43"/>
  <c r="G8" i="41"/>
  <c r="G7" i="41"/>
  <c r="G6" i="41"/>
  <c r="F15" i="44"/>
  <c r="F14" i="44"/>
  <c r="F13" i="44"/>
  <c r="BH40" i="43"/>
  <c r="BG40" i="43"/>
  <c r="C67" i="44"/>
  <c r="BF40" i="43"/>
  <c r="C66" i="44"/>
  <c r="BE40" i="43"/>
  <c r="C65" i="44"/>
  <c r="BD40" i="43"/>
  <c r="C64" i="44"/>
  <c r="BC40" i="43"/>
  <c r="C63" i="44"/>
  <c r="BB40" i="43"/>
  <c r="C62" i="44"/>
  <c r="BA40" i="43"/>
  <c r="C61" i="44"/>
  <c r="AZ40" i="43"/>
  <c r="C60" i="44"/>
  <c r="AY40" i="43"/>
  <c r="C59" i="44"/>
  <c r="AX40" i="43"/>
  <c r="C58" i="44"/>
  <c r="AW40" i="43"/>
  <c r="C57" i="44"/>
  <c r="AV40" i="43"/>
  <c r="C56" i="44"/>
  <c r="AU40" i="43"/>
  <c r="C55" i="44"/>
  <c r="AT40" i="43"/>
  <c r="C54" i="44"/>
  <c r="AS40" i="43"/>
  <c r="C53" i="44"/>
  <c r="AR40" i="43"/>
  <c r="C52" i="44"/>
  <c r="AQ40" i="43"/>
  <c r="C46" i="44"/>
  <c r="AP40" i="43"/>
  <c r="C45" i="44"/>
  <c r="AO40" i="43"/>
  <c r="C44" i="44"/>
  <c r="AN40" i="43"/>
  <c r="C43" i="44"/>
  <c r="AM40" i="43"/>
  <c r="C42" i="44"/>
  <c r="AL40" i="43"/>
  <c r="C41" i="44"/>
  <c r="AK40" i="43"/>
  <c r="C40" i="44"/>
  <c r="AJ40" i="43"/>
  <c r="C39" i="44"/>
  <c r="AI40" i="43"/>
  <c r="C38" i="44"/>
  <c r="AH40" i="43"/>
  <c r="C37" i="44"/>
  <c r="AG40" i="43"/>
  <c r="C36" i="44"/>
  <c r="AF40" i="43"/>
  <c r="C35" i="44"/>
  <c r="AE40" i="43"/>
  <c r="C34" i="44"/>
  <c r="AD40" i="43"/>
  <c r="C33" i="44"/>
  <c r="AC40" i="43"/>
  <c r="C32" i="44"/>
  <c r="AB40" i="43"/>
  <c r="C31" i="44"/>
  <c r="AA40" i="43"/>
  <c r="C30" i="44"/>
  <c r="Z40" i="43"/>
  <c r="C29" i="44"/>
  <c r="Y40" i="43"/>
  <c r="C28" i="44"/>
  <c r="X40" i="43"/>
  <c r="C27" i="44"/>
  <c r="W40" i="43"/>
  <c r="C26" i="44"/>
  <c r="V40" i="43"/>
  <c r="C25" i="44"/>
  <c r="U40" i="43"/>
  <c r="C24" i="44"/>
  <c r="T40" i="43"/>
  <c r="C23" i="44"/>
  <c r="S40" i="43"/>
  <c r="C22" i="44"/>
  <c r="R40" i="43"/>
  <c r="C21" i="44"/>
  <c r="Q40" i="43"/>
  <c r="P40" i="43"/>
  <c r="O40" i="43"/>
  <c r="N40" i="43"/>
  <c r="M40" i="43"/>
  <c r="F15" i="42"/>
  <c r="F14" i="42"/>
  <c r="F13" i="42"/>
  <c r="BH40" i="41"/>
  <c r="C67" i="42"/>
  <c r="C66" i="42"/>
  <c r="C65" i="42"/>
  <c r="C64" i="42"/>
  <c r="C63" i="42"/>
  <c r="C62" i="42"/>
  <c r="C61" i="42"/>
  <c r="C60" i="42"/>
  <c r="C59" i="42"/>
  <c r="C58" i="42"/>
  <c r="C57" i="42"/>
  <c r="C56" i="42"/>
  <c r="C55" i="42"/>
  <c r="C54" i="42"/>
  <c r="C53" i="42"/>
  <c r="C52" i="42"/>
  <c r="C43" i="42"/>
  <c r="C42" i="42"/>
  <c r="C41" i="42"/>
  <c r="C40" i="42"/>
  <c r="C39" i="42"/>
  <c r="C38" i="42"/>
  <c r="C37" i="42"/>
  <c r="C36" i="42"/>
  <c r="C35" i="42"/>
  <c r="C34" i="42"/>
  <c r="C27" i="42"/>
  <c r="C26" i="42"/>
  <c r="C25" i="42"/>
  <c r="C23" i="42"/>
  <c r="C21" i="42"/>
  <c r="F35" i="42"/>
  <c r="H35" i="42"/>
  <c r="F22" i="42"/>
  <c r="H22" i="42"/>
  <c r="F26" i="42"/>
  <c r="H26" i="42"/>
  <c r="F30" i="42"/>
  <c r="H30" i="42"/>
  <c r="F34" i="42"/>
  <c r="H34" i="42"/>
  <c r="F38" i="42"/>
  <c r="H38" i="42"/>
  <c r="F42" i="42"/>
  <c r="H42" i="42"/>
  <c r="H46" i="42"/>
  <c r="F46" i="42"/>
  <c r="F23" i="42"/>
  <c r="H23" i="42"/>
  <c r="F39" i="42"/>
  <c r="H39" i="42"/>
  <c r="F43" i="42"/>
  <c r="H43" i="42"/>
  <c r="F27" i="42"/>
  <c r="H27" i="42"/>
  <c r="F28" i="42"/>
  <c r="H28" i="42"/>
  <c r="F36" i="42"/>
  <c r="H36" i="42"/>
  <c r="F40" i="42"/>
  <c r="H40" i="42"/>
  <c r="F44" i="42"/>
  <c r="H44" i="42"/>
  <c r="F31" i="42"/>
  <c r="H31" i="42"/>
  <c r="F24" i="42"/>
  <c r="H24" i="42"/>
  <c r="F32" i="42"/>
  <c r="H32" i="42"/>
  <c r="H21" i="42"/>
  <c r="F21" i="42"/>
  <c r="F25" i="42"/>
  <c r="H25" i="42"/>
  <c r="F29" i="42"/>
  <c r="H29" i="42"/>
  <c r="F33" i="42"/>
  <c r="H33" i="42"/>
  <c r="F37" i="42"/>
  <c r="H37" i="42"/>
  <c r="F41" i="42"/>
  <c r="H41" i="42"/>
  <c r="F45" i="42"/>
  <c r="H45" i="42"/>
  <c r="F53" i="42"/>
  <c r="H53" i="42"/>
  <c r="F57" i="42"/>
  <c r="H57" i="42"/>
  <c r="F61" i="42"/>
  <c r="H61" i="42"/>
  <c r="F65" i="42"/>
  <c r="H65" i="42"/>
  <c r="F23" i="44"/>
  <c r="H23" i="44"/>
  <c r="F27" i="44"/>
  <c r="H27" i="44"/>
  <c r="F31" i="44"/>
  <c r="H31" i="44"/>
  <c r="F35" i="44"/>
  <c r="H35" i="44"/>
  <c r="F39" i="44"/>
  <c r="H39" i="44"/>
  <c r="F43" i="44"/>
  <c r="H43" i="44"/>
  <c r="H52" i="44"/>
  <c r="F52" i="44"/>
  <c r="H56" i="44"/>
  <c r="F56" i="44"/>
  <c r="H60" i="44"/>
  <c r="F60" i="44"/>
  <c r="K60" i="44"/>
  <c r="H64" i="44"/>
  <c r="F64" i="44"/>
  <c r="F54" i="42"/>
  <c r="H54" i="42"/>
  <c r="F58" i="42"/>
  <c r="H58" i="42"/>
  <c r="F62" i="42"/>
  <c r="H62" i="42"/>
  <c r="F66" i="42"/>
  <c r="H66" i="42"/>
  <c r="F24" i="44"/>
  <c r="H24" i="44"/>
  <c r="F28" i="44"/>
  <c r="H28" i="44"/>
  <c r="F32" i="44"/>
  <c r="H32" i="44"/>
  <c r="F36" i="44"/>
  <c r="H36" i="44"/>
  <c r="F40" i="44"/>
  <c r="H40" i="44"/>
  <c r="F44" i="44"/>
  <c r="H44" i="44"/>
  <c r="H53" i="44"/>
  <c r="F53" i="44"/>
  <c r="H57" i="44"/>
  <c r="F57" i="44"/>
  <c r="H61" i="44"/>
  <c r="F61" i="44"/>
  <c r="K61" i="44"/>
  <c r="H65" i="44"/>
  <c r="F65" i="44"/>
  <c r="F55" i="42"/>
  <c r="H55" i="42"/>
  <c r="F59" i="42"/>
  <c r="H59" i="42"/>
  <c r="F63" i="42"/>
  <c r="H63" i="42"/>
  <c r="F67" i="42"/>
  <c r="H67" i="42"/>
  <c r="F21" i="44"/>
  <c r="H21" i="44"/>
  <c r="F25" i="44"/>
  <c r="H25" i="44"/>
  <c r="F29" i="44"/>
  <c r="H29" i="44"/>
  <c r="F33" i="44"/>
  <c r="H33" i="44"/>
  <c r="F37" i="44"/>
  <c r="H37" i="44"/>
  <c r="F41" i="44"/>
  <c r="H41" i="44"/>
  <c r="F45" i="44"/>
  <c r="H45" i="44"/>
  <c r="H54" i="44"/>
  <c r="F54" i="44"/>
  <c r="H58" i="44"/>
  <c r="F58" i="44"/>
  <c r="K58" i="44"/>
  <c r="H62" i="44"/>
  <c r="F62" i="44"/>
  <c r="H66" i="44"/>
  <c r="F66" i="44"/>
  <c r="K66" i="44"/>
  <c r="F52" i="42"/>
  <c r="H52" i="42"/>
  <c r="F56" i="42"/>
  <c r="H56" i="42"/>
  <c r="F60" i="42"/>
  <c r="H60" i="42"/>
  <c r="F64" i="42"/>
  <c r="H64" i="42"/>
  <c r="F22" i="44"/>
  <c r="H22" i="44"/>
  <c r="F26" i="44"/>
  <c r="H26" i="44"/>
  <c r="F30" i="44"/>
  <c r="H30" i="44"/>
  <c r="F34" i="44"/>
  <c r="H34" i="44"/>
  <c r="F38" i="44"/>
  <c r="H38" i="44"/>
  <c r="F42" i="44"/>
  <c r="H42" i="44"/>
  <c r="F46" i="44"/>
  <c r="H46" i="44"/>
  <c r="H55" i="44"/>
  <c r="F55" i="44"/>
  <c r="K55" i="44"/>
  <c r="H59" i="44"/>
  <c r="F59" i="44"/>
  <c r="H63" i="44"/>
  <c r="F63" i="44"/>
  <c r="K63" i="44"/>
  <c r="H67" i="44"/>
  <c r="F67" i="44"/>
  <c r="F15" i="36"/>
  <c r="F14" i="36"/>
  <c r="F13" i="36"/>
  <c r="C67" i="36"/>
  <c r="C66" i="36"/>
  <c r="C65" i="36"/>
  <c r="C64" i="36"/>
  <c r="C63" i="36"/>
  <c r="C62" i="36"/>
  <c r="C61" i="36"/>
  <c r="C60" i="36"/>
  <c r="C59" i="36"/>
  <c r="C58" i="36"/>
  <c r="C57" i="36"/>
  <c r="C56" i="36"/>
  <c r="C55" i="36"/>
  <c r="C54" i="36"/>
  <c r="C53" i="36"/>
  <c r="C52" i="36"/>
  <c r="C46" i="36"/>
  <c r="C45" i="36"/>
  <c r="C44" i="36"/>
  <c r="C43" i="36"/>
  <c r="C42" i="36"/>
  <c r="C41" i="36"/>
  <c r="C40" i="36"/>
  <c r="C39" i="36"/>
  <c r="C38" i="36"/>
  <c r="C37" i="36"/>
  <c r="C36" i="36"/>
  <c r="C35" i="36"/>
  <c r="C34" i="36"/>
  <c r="C33" i="36"/>
  <c r="C32" i="36"/>
  <c r="C31" i="36"/>
  <c r="C30" i="36"/>
  <c r="C29" i="36"/>
  <c r="C28" i="36"/>
  <c r="C27" i="36"/>
  <c r="C26" i="36"/>
  <c r="C25" i="36"/>
  <c r="C24" i="36"/>
  <c r="C23" i="36"/>
  <c r="C22" i="36"/>
  <c r="C21" i="36"/>
  <c r="I14" i="24"/>
  <c r="F15" i="34"/>
  <c r="K53" i="44"/>
  <c r="K52" i="44"/>
  <c r="K46" i="44"/>
  <c r="K38" i="44"/>
  <c r="K30" i="44"/>
  <c r="K22" i="44"/>
  <c r="K60" i="42"/>
  <c r="K52" i="42"/>
  <c r="K41" i="44"/>
  <c r="K33" i="44"/>
  <c r="K25" i="44"/>
  <c r="K67" i="42"/>
  <c r="K59" i="42"/>
  <c r="K44" i="44"/>
  <c r="K36" i="44"/>
  <c r="K28" i="44"/>
  <c r="K66" i="42"/>
  <c r="K58" i="42"/>
  <c r="K43" i="44"/>
  <c r="K35" i="44"/>
  <c r="K27" i="44"/>
  <c r="K65" i="42"/>
  <c r="K57" i="42"/>
  <c r="K45" i="42"/>
  <c r="K37" i="42"/>
  <c r="K29" i="42"/>
  <c r="K24" i="42"/>
  <c r="K44" i="42"/>
  <c r="K36" i="42"/>
  <c r="K27" i="42"/>
  <c r="K39" i="42"/>
  <c r="K38" i="42"/>
  <c r="K30" i="42"/>
  <c r="K22" i="42"/>
  <c r="K67" i="44"/>
  <c r="K59" i="44"/>
  <c r="K62" i="44"/>
  <c r="K54" i="44"/>
  <c r="K65" i="44"/>
  <c r="K57" i="44"/>
  <c r="K64" i="44"/>
  <c r="K56" i="44"/>
  <c r="K21" i="42"/>
  <c r="K46" i="42"/>
  <c r="K42" i="44"/>
  <c r="K34" i="44"/>
  <c r="K26" i="44"/>
  <c r="K64" i="42"/>
  <c r="K56" i="42"/>
  <c r="K45" i="44"/>
  <c r="K37" i="44"/>
  <c r="K29" i="44"/>
  <c r="K21" i="44"/>
  <c r="K63" i="42"/>
  <c r="K55" i="42"/>
  <c r="K40" i="44"/>
  <c r="K32" i="44"/>
  <c r="K24" i="44"/>
  <c r="K62" i="42"/>
  <c r="K54" i="42"/>
  <c r="K39" i="44"/>
  <c r="K31" i="44"/>
  <c r="K23" i="44"/>
  <c r="K61" i="42"/>
  <c r="K53" i="42"/>
  <c r="K41" i="42"/>
  <c r="K33" i="42"/>
  <c r="K25" i="42"/>
  <c r="K32" i="42"/>
  <c r="K31" i="42"/>
  <c r="K40" i="42"/>
  <c r="K28" i="42"/>
  <c r="K43" i="42"/>
  <c r="K23" i="42"/>
  <c r="K42" i="42"/>
  <c r="K34" i="42"/>
  <c r="K26" i="42"/>
  <c r="K35" i="42"/>
  <c r="F27" i="36"/>
  <c r="H27" i="36"/>
  <c r="F43" i="36"/>
  <c r="H43" i="36"/>
  <c r="H60" i="36"/>
  <c r="F60" i="36"/>
  <c r="H64" i="36"/>
  <c r="F64" i="36"/>
  <c r="F23" i="36"/>
  <c r="H23" i="36"/>
  <c r="F39" i="36"/>
  <c r="H39" i="36"/>
  <c r="F24" i="36"/>
  <c r="H24" i="36"/>
  <c r="F36" i="36"/>
  <c r="H36" i="36"/>
  <c r="F40" i="36"/>
  <c r="H40" i="36"/>
  <c r="F44" i="36"/>
  <c r="H44" i="36"/>
  <c r="H53" i="36"/>
  <c r="F53" i="36"/>
  <c r="H57" i="36"/>
  <c r="F57" i="36"/>
  <c r="H61" i="36"/>
  <c r="F61" i="36"/>
  <c r="H65" i="36"/>
  <c r="F65" i="36"/>
  <c r="F31" i="36"/>
  <c r="H31" i="36"/>
  <c r="H52" i="36"/>
  <c r="F52" i="36"/>
  <c r="F32" i="36"/>
  <c r="H32" i="36"/>
  <c r="F25" i="36"/>
  <c r="H25" i="36"/>
  <c r="F33" i="36"/>
  <c r="H33" i="36"/>
  <c r="F41" i="36"/>
  <c r="H41" i="36"/>
  <c r="F45" i="36"/>
  <c r="H45" i="36"/>
  <c r="H54" i="36"/>
  <c r="F54" i="36"/>
  <c r="H58" i="36"/>
  <c r="F58" i="36"/>
  <c r="H62" i="36"/>
  <c r="F62" i="36"/>
  <c r="H66" i="36"/>
  <c r="F66" i="36"/>
  <c r="F35" i="36"/>
  <c r="H35" i="36"/>
  <c r="H56" i="36"/>
  <c r="F56" i="36"/>
  <c r="F28" i="36"/>
  <c r="H28" i="36"/>
  <c r="F21" i="36"/>
  <c r="H21" i="36"/>
  <c r="F29" i="36"/>
  <c r="H29" i="36"/>
  <c r="F37" i="36"/>
  <c r="H37" i="36"/>
  <c r="F22" i="36"/>
  <c r="H22" i="36"/>
  <c r="F26" i="36"/>
  <c r="H26" i="36"/>
  <c r="F30" i="36"/>
  <c r="H30" i="36"/>
  <c r="F34" i="36"/>
  <c r="H34" i="36"/>
  <c r="F38" i="36"/>
  <c r="H38" i="36"/>
  <c r="F42" i="36"/>
  <c r="H42" i="36"/>
  <c r="F46" i="36"/>
  <c r="H46" i="36"/>
  <c r="H55" i="36"/>
  <c r="F55" i="36"/>
  <c r="H59" i="36"/>
  <c r="F59" i="36"/>
  <c r="H63" i="36"/>
  <c r="F63" i="36"/>
  <c r="H67" i="36"/>
  <c r="F67" i="36"/>
  <c r="K67" i="36"/>
  <c r="I35" i="34"/>
  <c r="I36" i="34"/>
  <c r="I37" i="34"/>
  <c r="I38" i="34"/>
  <c r="I39" i="34"/>
  <c r="I40" i="34"/>
  <c r="I41" i="34"/>
  <c r="I42" i="34"/>
  <c r="I43" i="34"/>
  <c r="I44" i="34"/>
  <c r="I45" i="34"/>
  <c r="I46" i="34"/>
  <c r="I47" i="34"/>
  <c r="I48" i="34"/>
  <c r="I49" i="34"/>
  <c r="I50" i="34"/>
  <c r="I51" i="34"/>
  <c r="I34" i="34"/>
  <c r="I52" i="34"/>
  <c r="F51" i="34"/>
  <c r="I29" i="34"/>
  <c r="F29" i="34"/>
  <c r="F35" i="34"/>
  <c r="F36" i="34"/>
  <c r="F37" i="34"/>
  <c r="F38" i="34"/>
  <c r="F39" i="34"/>
  <c r="F40" i="34"/>
  <c r="F41" i="34"/>
  <c r="F42" i="34"/>
  <c r="F43" i="34"/>
  <c r="F44" i="34"/>
  <c r="F45" i="34"/>
  <c r="F46" i="34"/>
  <c r="F47" i="34"/>
  <c r="F48" i="34"/>
  <c r="F49" i="34"/>
  <c r="F50" i="34"/>
  <c r="F52" i="34"/>
  <c r="F34" i="34"/>
  <c r="I57" i="34"/>
  <c r="I56" i="34"/>
  <c r="F57" i="34"/>
  <c r="F56" i="34"/>
  <c r="F30" i="34"/>
  <c r="I28" i="34"/>
  <c r="F28" i="34"/>
  <c r="I27" i="34"/>
  <c r="F27" i="34"/>
  <c r="I26" i="34"/>
  <c r="F26" i="34"/>
  <c r="I25" i="34"/>
  <c r="F25" i="34"/>
  <c r="I24" i="34"/>
  <c r="F24" i="34"/>
  <c r="I23" i="34"/>
  <c r="F23" i="34"/>
  <c r="I22" i="34"/>
  <c r="F22" i="34"/>
  <c r="I21" i="34"/>
  <c r="K21" i="34"/>
  <c r="I20" i="34"/>
  <c r="F20" i="34"/>
  <c r="K59" i="36"/>
  <c r="K62" i="36"/>
  <c r="K52" i="36"/>
  <c r="K57" i="36"/>
  <c r="K64" i="36"/>
  <c r="K65" i="36"/>
  <c r="K54" i="36"/>
  <c r="K68" i="42"/>
  <c r="K68" i="44"/>
  <c r="K51" i="34"/>
  <c r="K63" i="36"/>
  <c r="K55" i="36"/>
  <c r="K56" i="36"/>
  <c r="K66" i="36"/>
  <c r="K58" i="36"/>
  <c r="K61" i="36"/>
  <c r="K53" i="36"/>
  <c r="K60" i="36"/>
  <c r="K47" i="44"/>
  <c r="K47" i="42"/>
  <c r="K46" i="36"/>
  <c r="K38" i="36"/>
  <c r="K30" i="36"/>
  <c r="K22" i="36"/>
  <c r="K29" i="36"/>
  <c r="K28" i="36"/>
  <c r="K35" i="36"/>
  <c r="K41" i="36"/>
  <c r="K25" i="36"/>
  <c r="K44" i="36"/>
  <c r="K36" i="36"/>
  <c r="K39" i="36"/>
  <c r="K43" i="36"/>
  <c r="K42" i="36"/>
  <c r="K34" i="36"/>
  <c r="K26" i="36"/>
  <c r="K37" i="36"/>
  <c r="K21" i="36"/>
  <c r="K45" i="36"/>
  <c r="K33" i="36"/>
  <c r="K32" i="36"/>
  <c r="K31" i="36"/>
  <c r="K40" i="36"/>
  <c r="K24" i="36"/>
  <c r="K23" i="36"/>
  <c r="K27" i="36"/>
  <c r="K29" i="34"/>
  <c r="K45" i="34"/>
  <c r="K37" i="34"/>
  <c r="K20" i="34"/>
  <c r="K22" i="34"/>
  <c r="K24" i="34"/>
  <c r="K26" i="34"/>
  <c r="K57" i="34"/>
  <c r="K52" i="34"/>
  <c r="K47" i="34"/>
  <c r="K43" i="34"/>
  <c r="K39" i="34"/>
  <c r="K35" i="34"/>
  <c r="K49" i="34"/>
  <c r="K41" i="34"/>
  <c r="K27" i="34"/>
  <c r="K30" i="34"/>
  <c r="K50" i="34"/>
  <c r="K46" i="34"/>
  <c r="K42" i="34"/>
  <c r="K38" i="34"/>
  <c r="K23" i="34"/>
  <c r="K25" i="34"/>
  <c r="K28" i="34"/>
  <c r="K48" i="34"/>
  <c r="K44" i="34"/>
  <c r="K40" i="34"/>
  <c r="K36" i="34"/>
  <c r="K56" i="34"/>
  <c r="K34" i="34"/>
  <c r="K68" i="36"/>
  <c r="K47" i="36"/>
  <c r="K58" i="34"/>
  <c r="K31" i="34"/>
  <c r="K53" i="34"/>
  <c r="F15" i="11"/>
  <c r="F14" i="11"/>
  <c r="F13" i="11"/>
  <c r="H22" i="11"/>
  <c r="C23" i="11"/>
  <c r="C25" i="11"/>
  <c r="C26" i="11"/>
  <c r="C27" i="11"/>
  <c r="C29" i="11"/>
  <c r="H30" i="11"/>
  <c r="H31" i="11"/>
  <c r="F32" i="11"/>
  <c r="H33" i="11"/>
  <c r="C34" i="11"/>
  <c r="H34" i="11"/>
  <c r="C35" i="11"/>
  <c r="H35" i="11"/>
  <c r="H36" i="11"/>
  <c r="C37" i="11"/>
  <c r="H37" i="11"/>
  <c r="C38" i="11"/>
  <c r="H38" i="11"/>
  <c r="C39" i="11"/>
  <c r="H39" i="11"/>
  <c r="C40" i="11"/>
  <c r="H40" i="11"/>
  <c r="C41" i="11"/>
  <c r="H41" i="11"/>
  <c r="C42" i="11"/>
  <c r="H42" i="11"/>
  <c r="C43" i="11"/>
  <c r="H43" i="11"/>
  <c r="C44" i="11"/>
  <c r="H44" i="11"/>
  <c r="H45" i="11"/>
  <c r="C46" i="11"/>
  <c r="H46" i="11"/>
  <c r="C52" i="11"/>
  <c r="F52" i="11"/>
  <c r="C53" i="11"/>
  <c r="F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H66" i="11"/>
  <c r="C67" i="11"/>
  <c r="H52" i="11"/>
  <c r="K52" i="11"/>
  <c r="F66" i="11"/>
  <c r="K66" i="11"/>
  <c r="H53" i="11"/>
  <c r="K53" i="11"/>
  <c r="H32" i="11"/>
  <c r="K32" i="11"/>
  <c r="F22" i="11"/>
  <c r="K22" i="11"/>
  <c r="F45" i="11"/>
  <c r="K45" i="11"/>
  <c r="K9" i="24"/>
  <c r="F14" i="34"/>
  <c r="A10" i="24"/>
  <c r="A9" i="24"/>
  <c r="A8" i="24"/>
  <c r="F13" i="34"/>
  <c r="C21" i="11"/>
  <c r="H67" i="11"/>
  <c r="F67" i="11"/>
  <c r="H58" i="11"/>
  <c r="F58" i="11"/>
  <c r="F43" i="11"/>
  <c r="H26" i="11"/>
  <c r="F26" i="11"/>
  <c r="F61" i="11"/>
  <c r="H61" i="11"/>
  <c r="F38" i="11"/>
  <c r="F25" i="11"/>
  <c r="H25" i="11"/>
  <c r="H64" i="11"/>
  <c r="F64" i="11"/>
  <c r="F60" i="11"/>
  <c r="H60" i="11"/>
  <c r="F56" i="11"/>
  <c r="H56" i="11"/>
  <c r="F46" i="11"/>
  <c r="F41" i="11"/>
  <c r="H28" i="11"/>
  <c r="F28" i="11"/>
  <c r="H24" i="11"/>
  <c r="F24" i="11"/>
  <c r="H62" i="11"/>
  <c r="F62" i="11"/>
  <c r="H54" i="11"/>
  <c r="F54" i="11"/>
  <c r="F39" i="11"/>
  <c r="F30" i="11"/>
  <c r="H65" i="11"/>
  <c r="F65" i="11"/>
  <c r="H57" i="11"/>
  <c r="F57" i="11"/>
  <c r="F42" i="11"/>
  <c r="F29" i="11"/>
  <c r="H29" i="11"/>
  <c r="H63" i="11"/>
  <c r="F63" i="11"/>
  <c r="F59" i="11"/>
  <c r="H59" i="11"/>
  <c r="F55" i="11"/>
  <c r="H55" i="11"/>
  <c r="F44" i="11"/>
  <c r="F40" i="11"/>
  <c r="H27" i="11"/>
  <c r="F27" i="11"/>
  <c r="H23" i="11"/>
  <c r="F23" i="11"/>
  <c r="F37" i="11"/>
  <c r="F33" i="11"/>
  <c r="F31" i="11"/>
  <c r="F36" i="11"/>
  <c r="F35" i="11"/>
  <c r="F34" i="11"/>
  <c r="H21" i="11"/>
  <c r="F21" i="11"/>
  <c r="K23" i="11"/>
  <c r="K40" i="11"/>
  <c r="K55" i="11"/>
  <c r="K63" i="11"/>
  <c r="K42" i="11"/>
  <c r="K65" i="11"/>
  <c r="K39" i="11"/>
  <c r="K62" i="11"/>
  <c r="K28" i="11"/>
  <c r="K60" i="11"/>
  <c r="K25" i="11"/>
  <c r="K26" i="11"/>
  <c r="K58" i="11"/>
  <c r="K46" i="11"/>
  <c r="K27" i="11"/>
  <c r="K44" i="11"/>
  <c r="K59" i="11"/>
  <c r="K29" i="11"/>
  <c r="K57" i="11"/>
  <c r="K30" i="11"/>
  <c r="K54" i="11"/>
  <c r="K24" i="11"/>
  <c r="K41" i="11"/>
  <c r="K56" i="11"/>
  <c r="K64" i="11"/>
  <c r="K38" i="11"/>
  <c r="K61" i="11"/>
  <c r="K43" i="11"/>
  <c r="K67" i="11"/>
  <c r="K21" i="11"/>
  <c r="K36" i="11"/>
  <c r="K31" i="11"/>
  <c r="K33" i="11"/>
  <c r="K37" i="11"/>
  <c r="K35" i="11"/>
  <c r="K34" i="11"/>
  <c r="K68" i="11"/>
  <c r="K47" i="11"/>
  <c r="K22" i="24"/>
  <c r="K26" i="24"/>
</calcChain>
</file>

<file path=xl/sharedStrings.xml><?xml version="1.0" encoding="utf-8"?>
<sst xmlns="http://schemas.openxmlformats.org/spreadsheetml/2006/main" count="1586" uniqueCount="288">
  <si>
    <t>* Design * Install * Maintain * Tree Care * Irrigation * Landscape Lighting * Water Features * Stonework *</t>
  </si>
  <si>
    <r>
      <t xml:space="preserve">1814 W. Howard Lane </t>
    </r>
    <r>
      <rPr>
        <b/>
        <sz val="8"/>
        <color theme="0"/>
        <rFont val="Wingdings"/>
        <charset val="2"/>
      </rPr>
      <t>s</t>
    </r>
    <r>
      <rPr>
        <b/>
        <sz val="8"/>
        <color theme="0"/>
        <rFont val="Verdana"/>
        <family val="2"/>
      </rPr>
      <t xml:space="preserve"> Austin TX 78728 </t>
    </r>
    <r>
      <rPr>
        <b/>
        <sz val="8"/>
        <color theme="0"/>
        <rFont val="Wingdings"/>
        <charset val="2"/>
      </rPr>
      <t>s</t>
    </r>
    <r>
      <rPr>
        <b/>
        <sz val="8"/>
        <color theme="0"/>
        <rFont val="Verdana"/>
        <family val="2"/>
      </rPr>
      <t xml:space="preserve"> 512.266.3167 phone </t>
    </r>
    <r>
      <rPr>
        <b/>
        <sz val="8"/>
        <color theme="0"/>
        <rFont val="Wingdings"/>
        <charset val="2"/>
      </rPr>
      <t>s</t>
    </r>
    <r>
      <rPr>
        <b/>
        <sz val="8"/>
        <color theme="0"/>
        <rFont val="Verdana"/>
        <family val="2"/>
      </rPr>
      <t xml:space="preserve"> 512.266.7613 fax</t>
    </r>
  </si>
  <si>
    <t>Date:</t>
  </si>
  <si>
    <t>9.20.2021</t>
  </si>
  <si>
    <t>Job #:</t>
  </si>
  <si>
    <t>To whom it may concern:</t>
  </si>
  <si>
    <t>The irrigation system at the property mentioned above was inspected on</t>
  </si>
  <si>
    <t>Please review the totals below for all Critical and Non-Critical repairs:</t>
  </si>
  <si>
    <r>
      <t xml:space="preserve">TOTAL for </t>
    </r>
    <r>
      <rPr>
        <b/>
        <sz val="11"/>
        <color theme="1"/>
        <rFont val="Calibri"/>
        <family val="2"/>
        <scheme val="minor"/>
      </rPr>
      <t>CRITICAL REPAIRS</t>
    </r>
    <r>
      <rPr>
        <sz val="10"/>
        <rFont val="Arial"/>
      </rPr>
      <t xml:space="preserve">: (This </t>
    </r>
    <r>
      <rPr>
        <b/>
        <sz val="11"/>
        <color theme="1"/>
        <rFont val="Calibri"/>
        <family val="2"/>
        <scheme val="minor"/>
      </rPr>
      <t>DOES NOT</t>
    </r>
    <r>
      <rPr>
        <sz val="10"/>
        <rFont val="Arial"/>
      </rPr>
      <t xml:space="preserve"> include sales tax)</t>
    </r>
  </si>
  <si>
    <r>
      <t xml:space="preserve">TOTAL for </t>
    </r>
    <r>
      <rPr>
        <b/>
        <sz val="11"/>
        <color theme="1"/>
        <rFont val="Calibri"/>
        <family val="2"/>
        <scheme val="minor"/>
      </rPr>
      <t>NON-CRITICAL REPAIRS</t>
    </r>
    <r>
      <rPr>
        <sz val="10"/>
        <rFont val="Arial"/>
      </rPr>
      <t xml:space="preserve">: (This </t>
    </r>
    <r>
      <rPr>
        <b/>
        <sz val="11"/>
        <color theme="1"/>
        <rFont val="Calibri"/>
        <family val="2"/>
        <scheme val="minor"/>
      </rPr>
      <t>DOES NOT</t>
    </r>
    <r>
      <rPr>
        <sz val="10"/>
        <rFont val="Arial"/>
      </rPr>
      <t xml:space="preserve"> include sales tax)</t>
    </r>
  </si>
  <si>
    <r>
      <t xml:space="preserve">TOTAL for </t>
    </r>
    <r>
      <rPr>
        <b/>
        <sz val="11"/>
        <color theme="1"/>
        <rFont val="Calibri"/>
        <family val="2"/>
        <scheme val="minor"/>
      </rPr>
      <t>CRITICAL AND NON-CRITICAL REPAIRS</t>
    </r>
    <r>
      <rPr>
        <sz val="10"/>
        <rFont val="Arial"/>
      </rPr>
      <t xml:space="preserve">: (This </t>
    </r>
    <r>
      <rPr>
        <b/>
        <sz val="11"/>
        <color theme="1"/>
        <rFont val="Calibri"/>
        <family val="2"/>
        <scheme val="minor"/>
      </rPr>
      <t>DOES NOT</t>
    </r>
    <r>
      <rPr>
        <sz val="10"/>
        <rFont val="Arial"/>
      </rPr>
      <t xml:space="preserve"> include sales tax)</t>
    </r>
  </si>
  <si>
    <r>
      <t>TOTAL 2 Wireless weather matic rain and freeze sensor</t>
    </r>
    <r>
      <rPr>
        <sz val="10"/>
        <rFont val="Arial"/>
      </rPr>
      <t xml:space="preserve">: (This </t>
    </r>
    <r>
      <rPr>
        <b/>
        <sz val="11"/>
        <color theme="1"/>
        <rFont val="Calibri"/>
        <family val="2"/>
        <scheme val="minor"/>
      </rPr>
      <t>DOES NOT</t>
    </r>
    <r>
      <rPr>
        <sz val="10"/>
        <rFont val="Arial"/>
      </rPr>
      <t xml:space="preserve"> include sales tax)</t>
    </r>
  </si>
  <si>
    <r>
      <rPr>
        <b/>
        <sz val="11"/>
        <color theme="1"/>
        <rFont val="Calibri"/>
        <family val="2"/>
        <scheme val="minor"/>
      </rPr>
      <t>GRAND TOTAL</t>
    </r>
    <r>
      <rPr>
        <sz val="10"/>
        <rFont val="Arial"/>
      </rPr>
      <t xml:space="preserve">: (This </t>
    </r>
    <r>
      <rPr>
        <b/>
        <sz val="11"/>
        <color theme="1"/>
        <rFont val="Calibri"/>
        <family val="2"/>
        <scheme val="minor"/>
      </rPr>
      <t>DOES NOT</t>
    </r>
    <r>
      <rPr>
        <sz val="10"/>
        <rFont val="Arial"/>
      </rPr>
      <t xml:space="preserve"> include sales tax)</t>
    </r>
  </si>
  <si>
    <t>For further assistance you may contact:</t>
  </si>
  <si>
    <t xml:space="preserve"> Wizard Herrera</t>
  </si>
  <si>
    <t>Irrigation Manager</t>
  </si>
  <si>
    <t>LI23286</t>
  </si>
  <si>
    <t>Wizard.Herrera@brightview.com</t>
  </si>
  <si>
    <t>Mobile: (512)769-4922</t>
  </si>
  <si>
    <t>Phone: (512)266-3167</t>
  </si>
  <si>
    <t>Fax: (512)266-7613</t>
  </si>
  <si>
    <t>(Please check ( √ ) all that apply)</t>
  </si>
  <si>
    <r>
      <t xml:space="preserve">We want both </t>
    </r>
    <r>
      <rPr>
        <b/>
        <sz val="11"/>
        <color theme="1"/>
        <rFont val="Calibri"/>
        <family val="2"/>
        <scheme val="minor"/>
      </rPr>
      <t>CRITICAL AND NON-CRITICAL</t>
    </r>
    <r>
      <rPr>
        <sz val="10"/>
        <rFont val="Arial"/>
      </rPr>
      <t xml:space="preserve"> repairs to be completed by Brightview Landscapes, LLC</t>
    </r>
  </si>
  <si>
    <r>
      <t xml:space="preserve">We want </t>
    </r>
    <r>
      <rPr>
        <b/>
        <sz val="11"/>
        <color theme="1"/>
        <rFont val="Calibri"/>
        <family val="2"/>
        <scheme val="minor"/>
      </rPr>
      <t>ONLY CRITICAL</t>
    </r>
    <r>
      <rPr>
        <sz val="10"/>
        <rFont val="Arial"/>
      </rPr>
      <t xml:space="preserve"> repairs to be completed by Brightview Landscapes, LLC</t>
    </r>
  </si>
  <si>
    <r>
      <t xml:space="preserve">We want </t>
    </r>
    <r>
      <rPr>
        <b/>
        <sz val="11"/>
        <color theme="1"/>
        <rFont val="Calibri"/>
        <family val="2"/>
        <scheme val="minor"/>
      </rPr>
      <t>ONLY NON-CRITICAL</t>
    </r>
    <r>
      <rPr>
        <sz val="10"/>
        <rFont val="Arial"/>
      </rPr>
      <t xml:space="preserve"> repairs to be completed by Brightview Landscapes, LLC</t>
    </r>
  </si>
  <si>
    <r>
      <t xml:space="preserve">We want </t>
    </r>
    <r>
      <rPr>
        <b/>
        <sz val="11"/>
        <color theme="1"/>
        <rFont val="Calibri"/>
        <family val="2"/>
        <scheme val="minor"/>
      </rPr>
      <t>ONLY MODIFICATIONS</t>
    </r>
    <r>
      <rPr>
        <sz val="10"/>
        <rFont val="Arial"/>
      </rPr>
      <t xml:space="preserve"> to be completed by Brightview Landscapes, LLC</t>
    </r>
  </si>
  <si>
    <r>
      <t xml:space="preserve">We want </t>
    </r>
    <r>
      <rPr>
        <b/>
        <sz val="11"/>
        <color theme="1"/>
        <rFont val="Calibri"/>
        <family val="2"/>
        <scheme val="minor"/>
      </rPr>
      <t>ALL REPAIRS INCLUDING MODIFICATIONS</t>
    </r>
    <r>
      <rPr>
        <sz val="10"/>
        <rFont val="Arial"/>
      </rPr>
      <t xml:space="preserve"> to be completed by Brightview Landscapes, LLC</t>
    </r>
  </si>
  <si>
    <t>Signature</t>
  </si>
  <si>
    <t>Date</t>
  </si>
  <si>
    <t>*Irrigation in Texas is regulated by the TCEQ, MC-178 * P.O. Box 13087 * Austin,  Texas  78711-3087 * WWW.TCEQ.STATE.TX.US</t>
  </si>
  <si>
    <t>Controller Type:</t>
  </si>
  <si>
    <t>1/4</t>
  </si>
  <si>
    <t>Weather Matic</t>
  </si>
  <si>
    <t>Location:</t>
  </si>
  <si>
    <t>Rain/Freeze Sensor:</t>
  </si>
  <si>
    <t>Y</t>
  </si>
  <si>
    <t>Rain/Freeze Sensor Type:</t>
  </si>
  <si>
    <t>Right back corner</t>
  </si>
  <si>
    <t>N</t>
  </si>
  <si>
    <t>X</t>
  </si>
  <si>
    <t>Air Card:</t>
  </si>
  <si>
    <t>Air Card #:</t>
  </si>
  <si>
    <t>Job Name:</t>
  </si>
  <si>
    <t>Amazon</t>
  </si>
  <si>
    <t>Address:</t>
  </si>
  <si>
    <t>2956 Main Street</t>
  </si>
  <si>
    <t>Water Days &amp; Start Times:</t>
  </si>
  <si>
    <t>Backflow Prevention &amp; Meters:</t>
  </si>
  <si>
    <t>City &amp; Zip:</t>
  </si>
  <si>
    <t>Buda, Texas</t>
  </si>
  <si>
    <t xml:space="preserve">A: </t>
  </si>
  <si>
    <t>Fri</t>
  </si>
  <si>
    <t xml:space="preserve">C: </t>
  </si>
  <si>
    <t>FRI</t>
  </si>
  <si>
    <t>Size:</t>
  </si>
  <si>
    <t>7PM-9PM-</t>
  </si>
  <si>
    <t>RPZ</t>
  </si>
  <si>
    <t>2"</t>
  </si>
  <si>
    <t>RIGHT SIDE ENRTY AMAZON SIGN</t>
  </si>
  <si>
    <t>5.6.26</t>
  </si>
  <si>
    <t>Checked by:</t>
  </si>
  <si>
    <t>Julio - Henry</t>
  </si>
  <si>
    <t xml:space="preserve">B: </t>
  </si>
  <si>
    <t>M-W-THU</t>
  </si>
  <si>
    <t xml:space="preserve">D: </t>
  </si>
  <si>
    <t>Manager:</t>
  </si>
  <si>
    <t>Wizard Herrera/</t>
  </si>
  <si>
    <t>12am</t>
  </si>
  <si>
    <t>Critical Repairs</t>
  </si>
  <si>
    <t>Non-Critical Repairs</t>
  </si>
  <si>
    <t>zones #</t>
  </si>
  <si>
    <t>location</t>
  </si>
  <si>
    <t>Rotary</t>
  </si>
  <si>
    <t>Spray</t>
  </si>
  <si>
    <t>Bubbler</t>
  </si>
  <si>
    <t>Drip</t>
  </si>
  <si>
    <t>Turf</t>
  </si>
  <si>
    <t>Beds</t>
  </si>
  <si>
    <t>Flowers</t>
  </si>
  <si>
    <t>Program</t>
  </si>
  <si>
    <t>Run Time</t>
  </si>
  <si>
    <t>Precipitation Rate</t>
  </si>
  <si>
    <t>Total # of 4"heads</t>
  </si>
  <si>
    <t>Total # of 6" heads</t>
  </si>
  <si>
    <t>Total # of 12" heads</t>
  </si>
  <si>
    <t>MP Rotors</t>
  </si>
  <si>
    <t>GPM</t>
  </si>
  <si>
    <t>Nozzles (Regular)</t>
  </si>
  <si>
    <t>Nozzles (Toro)</t>
  </si>
  <si>
    <t>Nozzles (MP)</t>
  </si>
  <si>
    <t>4" Heads (1804)</t>
  </si>
  <si>
    <t>4" Head PRS sams (1804)</t>
  </si>
  <si>
    <t>6" Heads (1806)</t>
  </si>
  <si>
    <t>12" Heads (1812)</t>
  </si>
  <si>
    <t>Swing</t>
  </si>
  <si>
    <t>Rotors (PGP Ultra)</t>
  </si>
  <si>
    <t>Drip Break</t>
  </si>
  <si>
    <t>Small Line Break</t>
  </si>
  <si>
    <t>Large Line Break</t>
  </si>
  <si>
    <t>2" Valve</t>
  </si>
  <si>
    <t>1 ½" Valve</t>
  </si>
  <si>
    <t>1" Valve</t>
  </si>
  <si>
    <t>Decoder</t>
  </si>
  <si>
    <t>Solenoid</t>
  </si>
  <si>
    <t>Diaphragm</t>
  </si>
  <si>
    <t>Main Line Leak</t>
  </si>
  <si>
    <t>10" Valve Box Top</t>
  </si>
  <si>
    <t>10" Valve Box</t>
  </si>
  <si>
    <t>6" Valve Box Top</t>
  </si>
  <si>
    <t>6" Valve Box</t>
  </si>
  <si>
    <t>Bubblers</t>
  </si>
  <si>
    <t>Cut Wires</t>
  </si>
  <si>
    <t>Add a Zone</t>
  </si>
  <si>
    <t>Aircard</t>
  </si>
  <si>
    <t>Raise</t>
  </si>
  <si>
    <t>Lower</t>
  </si>
  <si>
    <t>Move</t>
  </si>
  <si>
    <t>Add Spray Heads</t>
  </si>
  <si>
    <t>Add Rotory Heads</t>
  </si>
  <si>
    <t>Cap Heads</t>
  </si>
  <si>
    <t>Mower Damage</t>
  </si>
  <si>
    <t xml:space="preserve">Front of controller </t>
  </si>
  <si>
    <t>A</t>
  </si>
  <si>
    <t>Right back corner of bldg</t>
  </si>
  <si>
    <t xml:space="preserve">Not Activating </t>
  </si>
  <si>
    <t>Back of bldg in river rock</t>
  </si>
  <si>
    <t>B</t>
  </si>
  <si>
    <t>Front left of Building</t>
  </si>
  <si>
    <t>in front of Amazon W005 door</t>
  </si>
  <si>
    <t>No work</t>
  </si>
  <si>
    <t>Right side main entry</t>
  </si>
  <si>
    <t>Left side main entry</t>
  </si>
  <si>
    <t>Entry along sidewalk</t>
  </si>
  <si>
    <t>Front retention pond</t>
  </si>
  <si>
    <t>Second entry side walk</t>
  </si>
  <si>
    <t>Second entry by pond</t>
  </si>
  <si>
    <t>Right side second entry</t>
  </si>
  <si>
    <t>Left side of building island</t>
  </si>
  <si>
    <t>Front right side enrty parking lot</t>
  </si>
  <si>
    <t>Front left enrty parking lot</t>
  </si>
  <si>
    <t>no work</t>
  </si>
  <si>
    <t>Front building parking lot</t>
  </si>
  <si>
    <t>C</t>
  </si>
  <si>
    <t>Left side island</t>
  </si>
  <si>
    <t>Total</t>
  </si>
  <si>
    <t>Notes:</t>
  </si>
  <si>
    <t xml:space="preserve"> CRITICAL MAIN LINE</t>
  </si>
  <si>
    <t>TOTAL RUNTIME FOR PROGRAM A-1:45MINUTES</t>
  </si>
  <si>
    <t>LEAK THAT HAS BEEN DAMAGE FROM ONE OF THE AMAZON TRUCKS</t>
  </si>
  <si>
    <t xml:space="preserve">TOTAL RUNTIME FOR PROGRAM C-1:40 MINUTES </t>
  </si>
  <si>
    <t xml:space="preserve">TOTAL RUNTIME FOR PROGRAM B-1:50 MINUTES </t>
  </si>
  <si>
    <t>Left front side of building Amazon door</t>
  </si>
  <si>
    <t>9.25.2024</t>
  </si>
  <si>
    <t>Rene</t>
  </si>
  <si>
    <t>Along second retention pond</t>
  </si>
  <si>
    <t>Front second retention pond</t>
  </si>
  <si>
    <t>Alond side walk second entry</t>
  </si>
  <si>
    <t>Left side along exit</t>
  </si>
  <si>
    <t>Along left side building</t>
  </si>
  <si>
    <t>Left island</t>
  </si>
  <si>
    <t>Left of building parking lot</t>
  </si>
  <si>
    <t>Back left parking lot</t>
  </si>
  <si>
    <t>Back island parking lot</t>
  </si>
  <si>
    <t>Back left side parking lot</t>
  </si>
  <si>
    <t>Back of Building</t>
  </si>
  <si>
    <t>South side parking lot</t>
  </si>
  <si>
    <t>South side island</t>
  </si>
  <si>
    <t>Along back exit</t>
  </si>
  <si>
    <t>Along south exit</t>
  </si>
  <si>
    <t>1814 W. Howard Ln.</t>
  </si>
  <si>
    <t>Austin, TX 78728</t>
  </si>
  <si>
    <t>Fax (512)266-7613</t>
  </si>
  <si>
    <t>Inspection Date:</t>
  </si>
  <si>
    <t>Critical Repairs Needed</t>
  </si>
  <si>
    <t>QTY:</t>
  </si>
  <si>
    <t>Items:</t>
  </si>
  <si>
    <t>Cost Ea.</t>
  </si>
  <si>
    <t>Cost for Labor &amp; Parts</t>
  </si>
  <si>
    <t>Nozzles - Reg</t>
  </si>
  <si>
    <t>+</t>
  </si>
  <si>
    <t>=</t>
  </si>
  <si>
    <t>Nozzles - Toro</t>
  </si>
  <si>
    <t>MP Nozzles</t>
  </si>
  <si>
    <t>4" Heads</t>
  </si>
  <si>
    <t>4" Head PRS Sams</t>
  </si>
  <si>
    <t>6" Heads</t>
  </si>
  <si>
    <t>12" Heads</t>
  </si>
  <si>
    <t>Rotors</t>
  </si>
  <si>
    <t>Line Break - Sm</t>
  </si>
  <si>
    <t>Line Break - Lg</t>
  </si>
  <si>
    <r>
      <t xml:space="preserve">1 </t>
    </r>
    <r>
      <rPr>
        <sz val="8"/>
        <rFont val="Calibri"/>
        <family val="2"/>
      </rPr>
      <t>½</t>
    </r>
    <r>
      <rPr>
        <sz val="8"/>
        <rFont val="Arial"/>
        <family val="2"/>
      </rPr>
      <t>" Valve</t>
    </r>
  </si>
  <si>
    <t>Cut wires</t>
  </si>
  <si>
    <t>Add A Zone</t>
  </si>
  <si>
    <t>TOTAL</t>
  </si>
  <si>
    <t>Non-Critical Repairs Needed</t>
  </si>
  <si>
    <t>Add Spray</t>
  </si>
  <si>
    <t>Add Rotor</t>
  </si>
  <si>
    <t>**(PLEASE NOTE: ALL TOTALS GIVEN DO NOT INCLUDE SALES TAX)**</t>
  </si>
  <si>
    <t>4/4</t>
  </si>
  <si>
    <t>RIGHT SIDE ENTRY TO AMAZON SIGN</t>
  </si>
  <si>
    <t>SVC</t>
  </si>
  <si>
    <t>Back along buikding  SVC</t>
  </si>
  <si>
    <t>E</t>
  </si>
  <si>
    <t>NEED NEW SVC</t>
  </si>
  <si>
    <t>Back north parking lot SVC</t>
  </si>
  <si>
    <t>D</t>
  </si>
  <si>
    <t>Need replace svc</t>
  </si>
  <si>
    <t>Norht back parking lot SVC</t>
  </si>
  <si>
    <t>Back of Building SVC</t>
  </si>
  <si>
    <t>Back 301 island SVC</t>
  </si>
  <si>
    <t>NEED BATTERIES</t>
  </si>
  <si>
    <t>CVC north island SVC</t>
  </si>
  <si>
    <t>Nort island  SVC</t>
  </si>
  <si>
    <t>IES</t>
  </si>
  <si>
    <t>CVC around pond 3 SVC</t>
  </si>
  <si>
    <t>3/4</t>
  </si>
  <si>
    <t>FACP ROOM WO47</t>
  </si>
  <si>
    <t>TUE-THUR</t>
  </si>
  <si>
    <t>8PM-10PM-</t>
  </si>
  <si>
    <t>RIGHT SIDE ENTRY AMAZON SIGN</t>
  </si>
  <si>
    <t>M-W-SAT-SUN</t>
  </si>
  <si>
    <t>10PM-</t>
  </si>
  <si>
    <t>Front of controller</t>
  </si>
  <si>
    <t>Front of EO-19</t>
  </si>
  <si>
    <t>Front of EO-18</t>
  </si>
  <si>
    <t>Front of EO-12</t>
  </si>
  <si>
    <t>Front of EO-16 NA</t>
  </si>
  <si>
    <t>Front of EO-15-EO19</t>
  </si>
  <si>
    <t>Front of 301 dock</t>
  </si>
  <si>
    <t>Front of bldg</t>
  </si>
  <si>
    <t>Along retention p-lot</t>
  </si>
  <si>
    <t xml:space="preserve">Right of 1st entrance </t>
  </si>
  <si>
    <t xml:space="preserve">Left of entry &amp; along sidewalk </t>
  </si>
  <si>
    <t>Along Main Street curbside</t>
  </si>
  <si>
    <t xml:space="preserve">Left of 1st entrance </t>
  </si>
  <si>
    <t>Left of 1st entrance along SW</t>
  </si>
  <si>
    <t>Along retention by side walk</t>
  </si>
  <si>
    <t>Along Main Street side walk</t>
  </si>
  <si>
    <t>Right of 2nd entrance by rpz</t>
  </si>
  <si>
    <t>NA</t>
  </si>
  <si>
    <t>Notes:Zones from 24 to 48 cut wires</t>
  </si>
  <si>
    <t xml:space="preserve">TOTAL RUNTIME PROGRAM A-1:20 MINUTES </t>
  </si>
  <si>
    <t xml:space="preserve">TOTAL RUNTIME PROGRAM C-1:15 MINUTES </t>
  </si>
  <si>
    <t>TOTAL RUNTIME PROGRAM B-1:10 MINUTES -DRIP &amp; BUBBLERS</t>
  </si>
  <si>
    <t>right back side of building E019-DOCK137</t>
  </si>
  <si>
    <t>Parking fornt of 125-137 docK</t>
  </si>
  <si>
    <t>Parking front 116-137 dock</t>
  </si>
  <si>
    <t>Parking front 112-127 dock</t>
  </si>
  <si>
    <t>Parking front 101-111 dock</t>
  </si>
  <si>
    <t>Parking front</t>
  </si>
  <si>
    <t>Modifications</t>
  </si>
  <si>
    <t>RPZ Device 2"</t>
  </si>
  <si>
    <t xml:space="preserve"> + </t>
  </si>
  <si>
    <t xml:space="preserve"> = </t>
  </si>
  <si>
    <t>Convert to Drip</t>
  </si>
  <si>
    <t>PRV device 1"</t>
  </si>
  <si>
    <t>Dbl check 1"</t>
  </si>
  <si>
    <t>Jumbo Pl Meter BX</t>
  </si>
  <si>
    <t>Standard Pl Meter Bx</t>
  </si>
  <si>
    <t>DCA 2"</t>
  </si>
  <si>
    <t>Pressure Reg 2"</t>
  </si>
  <si>
    <t>1" Y Strainer</t>
  </si>
  <si>
    <t>2" Y Strainer</t>
  </si>
  <si>
    <t>Inspection</t>
  </si>
  <si>
    <t>TOTAL COST:</t>
  </si>
  <si>
    <t>Controllers:</t>
  </si>
  <si>
    <t>Hunter Pro C (4)</t>
  </si>
  <si>
    <t>Hunter Pro C (10)</t>
  </si>
  <si>
    <t>Hunter Pro C (15)</t>
  </si>
  <si>
    <t>Hunter I-Core (10)</t>
  </si>
  <si>
    <t>Hunter I-Core (15)</t>
  </si>
  <si>
    <t>Hunter I-Core (24)</t>
  </si>
  <si>
    <t>Hunter I-Core (32)</t>
  </si>
  <si>
    <t>Hunter I-Core (42)</t>
  </si>
  <si>
    <t>Weathermatic/Aircard (4)</t>
  </si>
  <si>
    <t>Weathermatic/Aircard (12)</t>
  </si>
  <si>
    <t>Weathermatic/Aircard (15)</t>
  </si>
  <si>
    <t>Weathermatic/Aircard (24)</t>
  </si>
  <si>
    <t>Weathermatic/Aircard (48)</t>
  </si>
  <si>
    <t>Weathermatic (4)</t>
  </si>
  <si>
    <t>Weathermatic (12)</t>
  </si>
  <si>
    <t>Weathermatic (15)</t>
  </si>
  <si>
    <t>Weathermatic (24)</t>
  </si>
  <si>
    <t>Weathermatic (48)</t>
  </si>
  <si>
    <t>SVC 1 Station</t>
  </si>
  <si>
    <t>Rain/Freeze Sensors:</t>
  </si>
  <si>
    <t>Hunter/Rainbird Wireless</t>
  </si>
  <si>
    <t>Weather Station (WM)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</si>
</sst>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2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indexed="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u/>
      <sz val="16"/>
      <color indexed="8"/>
      <name val="Arial"/>
      <family val="2"/>
    </font>
    <font>
      <b/>
      <sz val="16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4"/>
      <name val="Arial"/>
      <family val="2"/>
    </font>
    <font>
      <u/>
      <sz val="10"/>
      <color theme="10"/>
      <name val="Arial"/>
      <family val="2"/>
    </font>
    <font>
      <sz val="14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b/>
      <sz val="8"/>
      <color theme="0"/>
      <name val="Verdana"/>
      <family val="2"/>
    </font>
    <font>
      <b/>
      <sz val="8"/>
      <color theme="0"/>
      <name val="Wingdings"/>
      <charset val="2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u/>
      <sz val="10"/>
      <color theme="10"/>
      <name val="Arial"/>
    </font>
    <font>
      <sz val="1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7" fillId="2" borderId="0" applyNumberFormat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1" fillId="0" borderId="0"/>
    <xf numFmtId="0" fontId="11" fillId="0" borderId="0"/>
    <xf numFmtId="0" fontId="3" fillId="0" borderId="0"/>
    <xf numFmtId="0" fontId="11" fillId="0" borderId="0"/>
    <xf numFmtId="44" fontId="3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2" fillId="0" borderId="0"/>
    <xf numFmtId="0" fontId="24" fillId="0" borderId="0" applyNumberFormat="0" applyFill="0" applyBorder="0" applyAlignment="0" applyProtection="0"/>
  </cellStyleXfs>
  <cellXfs count="269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16" fontId="5" fillId="0" borderId="0" xfId="0" applyNumberFormat="1" applyFont="1" applyAlignment="1">
      <alignment horizontal="right"/>
    </xf>
    <xf numFmtId="0" fontId="5" fillId="0" borderId="4" xfId="0" applyFont="1" applyBorder="1"/>
    <xf numFmtId="0" fontId="4" fillId="3" borderId="0" xfId="0" applyFont="1" applyFill="1"/>
    <xf numFmtId="0" fontId="14" fillId="0" borderId="0" xfId="0" applyFont="1" applyAlignment="1">
      <alignment horizontal="center" textRotation="90"/>
    </xf>
    <xf numFmtId="0" fontId="6" fillId="3" borderId="9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3" borderId="9" xfId="0" applyFont="1" applyFill="1" applyBorder="1"/>
    <xf numFmtId="0" fontId="6" fillId="0" borderId="32" xfId="0" applyFont="1" applyBorder="1"/>
    <xf numFmtId="0" fontId="6" fillId="3" borderId="9" xfId="0" applyFont="1" applyFill="1" applyBorder="1"/>
    <xf numFmtId="0" fontId="9" fillId="3" borderId="24" xfId="0" applyFont="1" applyFill="1" applyBorder="1"/>
    <xf numFmtId="0" fontId="6" fillId="3" borderId="32" xfId="0" applyFont="1" applyFill="1" applyBorder="1"/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4" fillId="3" borderId="12" xfId="0" applyFont="1" applyFill="1" applyBorder="1"/>
    <xf numFmtId="0" fontId="4" fillId="3" borderId="13" xfId="0" applyFont="1" applyFill="1" applyBorder="1"/>
    <xf numFmtId="0" fontId="5" fillId="3" borderId="13" xfId="0" applyFont="1" applyFill="1" applyBorder="1"/>
    <xf numFmtId="0" fontId="4" fillId="3" borderId="14" xfId="0" applyFont="1" applyFill="1" applyBorder="1"/>
    <xf numFmtId="0" fontId="5" fillId="3" borderId="14" xfId="0" applyFont="1" applyFill="1" applyBorder="1"/>
    <xf numFmtId="0" fontId="5" fillId="3" borderId="12" xfId="0" applyFont="1" applyFill="1" applyBorder="1"/>
    <xf numFmtId="0" fontId="5" fillId="3" borderId="0" xfId="0" applyFont="1" applyFill="1" applyAlignment="1">
      <alignment wrapText="1"/>
    </xf>
    <xf numFmtId="0" fontId="4" fillId="3" borderId="17" xfId="0" applyFont="1" applyFill="1" applyBorder="1"/>
    <xf numFmtId="0" fontId="5" fillId="3" borderId="17" xfId="0" applyFont="1" applyFill="1" applyBorder="1"/>
    <xf numFmtId="0" fontId="5" fillId="3" borderId="3" xfId="0" applyFont="1" applyFill="1" applyBorder="1"/>
    <xf numFmtId="0" fontId="4" fillId="3" borderId="4" xfId="0" applyFont="1" applyFill="1" applyBorder="1"/>
    <xf numFmtId="0" fontId="5" fillId="3" borderId="5" xfId="0" applyFont="1" applyFill="1" applyBorder="1"/>
    <xf numFmtId="0" fontId="4" fillId="3" borderId="11" xfId="0" applyFont="1" applyFill="1" applyBorder="1"/>
    <xf numFmtId="49" fontId="5" fillId="3" borderId="0" xfId="0" applyNumberFormat="1" applyFont="1" applyFill="1"/>
    <xf numFmtId="0" fontId="2" fillId="0" borderId="0" xfId="12"/>
    <xf numFmtId="0" fontId="2" fillId="0" borderId="0" xfId="12" applyAlignment="1">
      <alignment horizontal="right"/>
    </xf>
    <xf numFmtId="0" fontId="2" fillId="0" borderId="9" xfId="12" applyBorder="1"/>
    <xf numFmtId="0" fontId="22" fillId="0" borderId="0" xfId="12" applyFont="1"/>
    <xf numFmtId="164" fontId="2" fillId="0" borderId="0" xfId="12" applyNumberFormat="1"/>
    <xf numFmtId="0" fontId="18" fillId="0" borderId="0" xfId="12" applyFont="1"/>
    <xf numFmtId="0" fontId="2" fillId="0" borderId="17" xfId="12" applyBorder="1"/>
    <xf numFmtId="164" fontId="2" fillId="0" borderId="17" xfId="12" applyNumberFormat="1" applyBorder="1"/>
    <xf numFmtId="0" fontId="16" fillId="0" borderId="0" xfId="0" applyFont="1"/>
    <xf numFmtId="0" fontId="5" fillId="0" borderId="13" xfId="0" applyFont="1" applyBorder="1"/>
    <xf numFmtId="0" fontId="4" fillId="3" borderId="7" xfId="0" applyFont="1" applyFill="1" applyBorder="1"/>
    <xf numFmtId="0" fontId="5" fillId="3" borderId="8" xfId="0" applyFont="1" applyFill="1" applyBorder="1"/>
    <xf numFmtId="0" fontId="4" fillId="3" borderId="3" xfId="0" applyFont="1" applyFill="1" applyBorder="1"/>
    <xf numFmtId="0" fontId="5" fillId="3" borderId="4" xfId="0" applyFont="1" applyFill="1" applyBorder="1"/>
    <xf numFmtId="0" fontId="4" fillId="3" borderId="6" xfId="0" applyFont="1" applyFill="1" applyBorder="1"/>
    <xf numFmtId="0" fontId="4" fillId="3" borderId="1" xfId="0" applyFont="1" applyFill="1" applyBorder="1"/>
    <xf numFmtId="0" fontId="4" fillId="3" borderId="3" xfId="0" applyFont="1" applyFill="1" applyBorder="1" applyAlignment="1">
      <alignment horizontal="center"/>
    </xf>
    <xf numFmtId="0" fontId="4" fillId="3" borderId="5" xfId="0" applyFont="1" applyFill="1" applyBorder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8" fillId="3" borderId="3" xfId="0" applyFont="1" applyFill="1" applyBorder="1"/>
    <xf numFmtId="0" fontId="8" fillId="3" borderId="4" xfId="0" applyFont="1" applyFill="1" applyBorder="1"/>
    <xf numFmtId="0" fontId="14" fillId="3" borderId="7" xfId="0" applyFont="1" applyFill="1" applyBorder="1" applyAlignment="1">
      <alignment horizontal="center" textRotation="90"/>
    </xf>
    <xf numFmtId="0" fontId="14" fillId="3" borderId="1" xfId="0" applyFont="1" applyFill="1" applyBorder="1" applyAlignment="1">
      <alignment horizontal="center" textRotation="90"/>
    </xf>
    <xf numFmtId="0" fontId="14" fillId="3" borderId="8" xfId="0" applyFont="1" applyFill="1" applyBorder="1" applyAlignment="1">
      <alignment horizontal="center" textRotation="90"/>
    </xf>
    <xf numFmtId="0" fontId="9" fillId="3" borderId="17" xfId="0" applyFont="1" applyFill="1" applyBorder="1"/>
    <xf numFmtId="0" fontId="4" fillId="3" borderId="34" xfId="0" applyFont="1" applyFill="1" applyBorder="1"/>
    <xf numFmtId="0" fontId="5" fillId="3" borderId="17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left"/>
    </xf>
    <xf numFmtId="0" fontId="9" fillId="3" borderId="17" xfId="0" applyFont="1" applyFill="1" applyBorder="1" applyAlignment="1">
      <alignment horizontal="center"/>
    </xf>
    <xf numFmtId="0" fontId="12" fillId="3" borderId="8" xfId="0" applyFont="1" applyFill="1" applyBorder="1" applyAlignment="1">
      <alignment horizontal="center" textRotation="90"/>
    </xf>
    <xf numFmtId="14" fontId="5" fillId="3" borderId="13" xfId="0" applyNumberFormat="1" applyFont="1" applyFill="1" applyBorder="1"/>
    <xf numFmtId="0" fontId="5" fillId="3" borderId="35" xfId="0" applyFont="1" applyFill="1" applyBorder="1"/>
    <xf numFmtId="0" fontId="6" fillId="0" borderId="12" xfId="0" applyFont="1" applyBorder="1" applyAlignment="1">
      <alignment horizontal="right"/>
    </xf>
    <xf numFmtId="0" fontId="5" fillId="0" borderId="10" xfId="0" applyFont="1" applyBorder="1" applyAlignment="1">
      <alignment horizontal="center"/>
    </xf>
    <xf numFmtId="0" fontId="4" fillId="0" borderId="10" xfId="0" applyFont="1" applyBorder="1"/>
    <xf numFmtId="0" fontId="5" fillId="0" borderId="10" xfId="0" applyFont="1" applyBorder="1" applyAlignment="1">
      <alignment horizontal="right"/>
    </xf>
    <xf numFmtId="0" fontId="5" fillId="0" borderId="10" xfId="0" applyFont="1" applyBorder="1"/>
    <xf numFmtId="0" fontId="4" fillId="0" borderId="10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7" xfId="0" applyFont="1" applyBorder="1"/>
    <xf numFmtId="0" fontId="5" fillId="0" borderId="25" xfId="0" applyFont="1" applyBorder="1"/>
    <xf numFmtId="0" fontId="5" fillId="0" borderId="37" xfId="0" applyFont="1" applyBorder="1"/>
    <xf numFmtId="0" fontId="5" fillId="0" borderId="38" xfId="0" applyFont="1" applyBorder="1"/>
    <xf numFmtId="0" fontId="5" fillId="0" borderId="39" xfId="0" applyFont="1" applyBorder="1"/>
    <xf numFmtId="0" fontId="4" fillId="0" borderId="25" xfId="0" applyFont="1" applyBorder="1"/>
    <xf numFmtId="0" fontId="4" fillId="0" borderId="24" xfId="0" applyFont="1" applyBorder="1"/>
    <xf numFmtId="0" fontId="5" fillId="0" borderId="27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3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27" xfId="0" applyFont="1" applyBorder="1"/>
    <xf numFmtId="0" fontId="4" fillId="0" borderId="22" xfId="0" applyFont="1" applyBorder="1"/>
    <xf numFmtId="0" fontId="4" fillId="0" borderId="11" xfId="0" applyFont="1" applyBorder="1" applyAlignment="1">
      <alignment horizontal="center"/>
    </xf>
    <xf numFmtId="8" fontId="4" fillId="3" borderId="2" xfId="0" applyNumberFormat="1" applyFont="1" applyFill="1" applyBorder="1"/>
    <xf numFmtId="0" fontId="4" fillId="3" borderId="6" xfId="0" applyFont="1" applyFill="1" applyBorder="1" applyAlignment="1">
      <alignment horizontal="center"/>
    </xf>
    <xf numFmtId="0" fontId="4" fillId="0" borderId="32" xfId="0" applyFont="1" applyBorder="1"/>
    <xf numFmtId="0" fontId="16" fillId="0" borderId="0" xfId="0" applyFont="1" applyAlignment="1">
      <alignment horizontal="right"/>
    </xf>
    <xf numFmtId="14" fontId="16" fillId="0" borderId="0" xfId="0" applyNumberFormat="1" applyFont="1" applyAlignment="1">
      <alignment horizontal="right"/>
    </xf>
    <xf numFmtId="0" fontId="16" fillId="0" borderId="21" xfId="0" applyFont="1" applyBorder="1" applyAlignment="1">
      <alignment horizontal="right"/>
    </xf>
    <xf numFmtId="0" fontId="16" fillId="0" borderId="28" xfId="0" applyFont="1" applyBorder="1" applyAlignment="1">
      <alignment horizontal="left"/>
    </xf>
    <xf numFmtId="0" fontId="16" fillId="0" borderId="15" xfId="0" applyFont="1" applyBorder="1"/>
    <xf numFmtId="0" fontId="16" fillId="0" borderId="33" xfId="0" applyFont="1" applyBorder="1"/>
    <xf numFmtId="0" fontId="16" fillId="0" borderId="22" xfId="0" applyFont="1" applyBorder="1" applyAlignment="1">
      <alignment horizontal="right"/>
    </xf>
    <xf numFmtId="0" fontId="16" fillId="0" borderId="16" xfId="0" applyFont="1" applyBorder="1" applyAlignment="1">
      <alignment horizontal="left"/>
    </xf>
    <xf numFmtId="0" fontId="16" fillId="0" borderId="9" xfId="0" applyFont="1" applyBorder="1"/>
    <xf numFmtId="0" fontId="16" fillId="0" borderId="23" xfId="0" applyFont="1" applyBorder="1"/>
    <xf numFmtId="0" fontId="16" fillId="0" borderId="31" xfId="0" applyFont="1" applyBorder="1" applyAlignment="1">
      <alignment horizontal="right"/>
    </xf>
    <xf numFmtId="14" fontId="16" fillId="0" borderId="7" xfId="0" applyNumberFormat="1" applyFont="1" applyBorder="1" applyAlignment="1">
      <alignment horizontal="left"/>
    </xf>
    <xf numFmtId="0" fontId="16" fillId="0" borderId="1" xfId="0" applyFont="1" applyBorder="1"/>
    <xf numFmtId="0" fontId="16" fillId="0" borderId="8" xfId="0" applyFont="1" applyBorder="1"/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1" fontId="16" fillId="0" borderId="18" xfId="0" quotePrefix="1" applyNumberFormat="1" applyFont="1" applyBorder="1" applyAlignment="1">
      <alignment horizontal="center"/>
    </xf>
    <xf numFmtId="0" fontId="16" fillId="0" borderId="19" xfId="0" applyFont="1" applyBorder="1"/>
    <xf numFmtId="2" fontId="16" fillId="0" borderId="19" xfId="0" applyNumberFormat="1" applyFont="1" applyBorder="1"/>
    <xf numFmtId="2" fontId="16" fillId="0" borderId="19" xfId="0" applyNumberFormat="1" applyFont="1" applyBorder="1" applyAlignment="1">
      <alignment horizontal="right"/>
    </xf>
    <xf numFmtId="43" fontId="16" fillId="0" borderId="19" xfId="0" applyNumberFormat="1" applyFont="1" applyBorder="1" applyAlignment="1">
      <alignment horizontal="center"/>
    </xf>
    <xf numFmtId="4" fontId="16" fillId="0" borderId="19" xfId="0" applyNumberFormat="1" applyFont="1" applyBorder="1"/>
    <xf numFmtId="4" fontId="16" fillId="0" borderId="19" xfId="0" applyNumberFormat="1" applyFont="1" applyBorder="1" applyAlignment="1">
      <alignment horizontal="center"/>
    </xf>
    <xf numFmtId="44" fontId="16" fillId="0" borderId="20" xfId="0" applyNumberFormat="1" applyFont="1" applyBorder="1" applyAlignment="1">
      <alignment horizontal="center"/>
    </xf>
    <xf numFmtId="1" fontId="16" fillId="0" borderId="27" xfId="0" quotePrefix="1" applyNumberFormat="1" applyFont="1" applyBorder="1" applyAlignment="1">
      <alignment horizontal="center"/>
    </xf>
    <xf numFmtId="0" fontId="16" fillId="0" borderId="10" xfId="0" applyFont="1" applyBorder="1"/>
    <xf numFmtId="2" fontId="16" fillId="0" borderId="10" xfId="0" applyNumberFormat="1" applyFont="1" applyBorder="1"/>
    <xf numFmtId="2" fontId="16" fillId="0" borderId="10" xfId="0" applyNumberFormat="1" applyFont="1" applyBorder="1" applyAlignment="1">
      <alignment horizontal="right"/>
    </xf>
    <xf numFmtId="43" fontId="16" fillId="0" borderId="10" xfId="0" applyNumberFormat="1" applyFont="1" applyBorder="1" applyAlignment="1">
      <alignment horizontal="center"/>
    </xf>
    <xf numFmtId="4" fontId="16" fillId="0" borderId="10" xfId="0" applyNumberFormat="1" applyFont="1" applyBorder="1"/>
    <xf numFmtId="4" fontId="16" fillId="0" borderId="10" xfId="0" applyNumberFormat="1" applyFont="1" applyBorder="1" applyAlignment="1">
      <alignment horizontal="center"/>
    </xf>
    <xf numFmtId="44" fontId="16" fillId="0" borderId="25" xfId="0" applyNumberFormat="1" applyFont="1" applyBorder="1" applyAlignment="1">
      <alignment horizontal="center"/>
    </xf>
    <xf numFmtId="43" fontId="16" fillId="0" borderId="10" xfId="0" applyNumberFormat="1" applyFont="1" applyBorder="1"/>
    <xf numFmtId="0" fontId="16" fillId="0" borderId="10" xfId="0" applyFont="1" applyBorder="1" applyAlignment="1">
      <alignment horizontal="center"/>
    </xf>
    <xf numFmtId="1" fontId="16" fillId="0" borderId="29" xfId="0" quotePrefix="1" applyNumberFormat="1" applyFont="1" applyBorder="1" applyAlignment="1">
      <alignment horizontal="center"/>
    </xf>
    <xf numFmtId="0" fontId="16" fillId="0" borderId="30" xfId="0" applyFont="1" applyBorder="1"/>
    <xf numFmtId="2" fontId="16" fillId="0" borderId="30" xfId="0" applyNumberFormat="1" applyFont="1" applyBorder="1"/>
    <xf numFmtId="2" fontId="16" fillId="0" borderId="30" xfId="0" applyNumberFormat="1" applyFont="1" applyBorder="1" applyAlignment="1">
      <alignment horizontal="right"/>
    </xf>
    <xf numFmtId="0" fontId="16" fillId="0" borderId="30" xfId="0" applyFont="1" applyBorder="1" applyAlignment="1">
      <alignment horizontal="center"/>
    </xf>
    <xf numFmtId="43" fontId="16" fillId="0" borderId="30" xfId="0" applyNumberFormat="1" applyFont="1" applyBorder="1"/>
    <xf numFmtId="44" fontId="16" fillId="0" borderId="26" xfId="0" applyNumberFormat="1" applyFont="1" applyBorder="1" applyAlignment="1">
      <alignment horizontal="center"/>
    </xf>
    <xf numFmtId="2" fontId="15" fillId="0" borderId="0" xfId="0" applyNumberFormat="1" applyFont="1"/>
    <xf numFmtId="2" fontId="16" fillId="0" borderId="0" xfId="0" applyNumberFormat="1" applyFont="1" applyAlignment="1">
      <alignment horizontal="right"/>
    </xf>
    <xf numFmtId="0" fontId="15" fillId="0" borderId="0" xfId="0" applyFont="1" applyAlignment="1">
      <alignment horizontal="right"/>
    </xf>
    <xf numFmtId="44" fontId="15" fillId="0" borderId="11" xfId="0" applyNumberFormat="1" applyFont="1" applyBorder="1"/>
    <xf numFmtId="49" fontId="16" fillId="0" borderId="10" xfId="0" applyNumberFormat="1" applyFont="1" applyBorder="1" applyAlignment="1">
      <alignment horizontal="center"/>
    </xf>
    <xf numFmtId="0" fontId="16" fillId="0" borderId="10" xfId="5" applyFont="1" applyBorder="1"/>
    <xf numFmtId="2" fontId="16" fillId="0" borderId="10" xfId="5" applyNumberFormat="1" applyFont="1" applyBorder="1"/>
    <xf numFmtId="2" fontId="16" fillId="0" borderId="10" xfId="5" applyNumberFormat="1" applyFont="1" applyBorder="1" applyAlignment="1">
      <alignment horizontal="right"/>
    </xf>
    <xf numFmtId="0" fontId="16" fillId="0" borderId="10" xfId="5" quotePrefix="1" applyFont="1" applyBorder="1" applyAlignment="1">
      <alignment horizontal="center"/>
    </xf>
    <xf numFmtId="4" fontId="16" fillId="0" borderId="10" xfId="5" applyNumberFormat="1" applyFont="1" applyBorder="1"/>
    <xf numFmtId="0" fontId="16" fillId="0" borderId="10" xfId="5" applyFont="1" applyBorder="1" applyAlignment="1">
      <alignment horizontal="center"/>
    </xf>
    <xf numFmtId="44" fontId="16" fillId="0" borderId="25" xfId="5" applyNumberFormat="1" applyFont="1" applyBorder="1" applyAlignment="1">
      <alignment horizontal="center"/>
    </xf>
    <xf numFmtId="0" fontId="16" fillId="0" borderId="30" xfId="5" applyFont="1" applyBorder="1"/>
    <xf numFmtId="2" fontId="16" fillId="0" borderId="30" xfId="5" applyNumberFormat="1" applyFont="1" applyBorder="1"/>
    <xf numFmtId="2" fontId="16" fillId="0" borderId="30" xfId="5" applyNumberFormat="1" applyFont="1" applyBorder="1" applyAlignment="1">
      <alignment horizontal="right"/>
    </xf>
    <xf numFmtId="0" fontId="16" fillId="0" borderId="30" xfId="5" quotePrefix="1" applyFont="1" applyBorder="1" applyAlignment="1">
      <alignment horizontal="center"/>
    </xf>
    <xf numFmtId="4" fontId="16" fillId="0" borderId="30" xfId="5" applyNumberFormat="1" applyFont="1" applyBorder="1"/>
    <xf numFmtId="0" fontId="16" fillId="0" borderId="30" xfId="5" applyFont="1" applyBorder="1" applyAlignment="1">
      <alignment horizontal="center"/>
    </xf>
    <xf numFmtId="44" fontId="16" fillId="0" borderId="26" xfId="5" applyNumberFormat="1" applyFont="1" applyBorder="1" applyAlignment="1">
      <alignment horizontal="center"/>
    </xf>
    <xf numFmtId="0" fontId="16" fillId="0" borderId="0" xfId="0" applyFont="1" applyAlignment="1">
      <alignment horizontal="left"/>
    </xf>
    <xf numFmtId="0" fontId="16" fillId="0" borderId="18" xfId="5" applyFont="1" applyBorder="1" applyAlignment="1">
      <alignment horizontal="center"/>
    </xf>
    <xf numFmtId="0" fontId="16" fillId="0" borderId="19" xfId="5" applyFont="1" applyBorder="1"/>
    <xf numFmtId="2" fontId="16" fillId="0" borderId="19" xfId="5" applyNumberFormat="1" applyFont="1" applyBorder="1"/>
    <xf numFmtId="2" fontId="16" fillId="0" borderId="19" xfId="5" applyNumberFormat="1" applyFont="1" applyBorder="1" applyAlignment="1">
      <alignment horizontal="right"/>
    </xf>
    <xf numFmtId="0" fontId="16" fillId="0" borderId="19" xfId="5" applyFont="1" applyBorder="1" applyAlignment="1">
      <alignment horizontal="center"/>
    </xf>
    <xf numFmtId="0" fontId="16" fillId="0" borderId="19" xfId="5" applyFont="1" applyBorder="1" applyAlignment="1">
      <alignment horizontal="right"/>
    </xf>
    <xf numFmtId="164" fontId="16" fillId="0" borderId="20" xfId="4" applyNumberFormat="1" applyFont="1" applyFill="1" applyBorder="1" applyAlignment="1" applyProtection="1">
      <alignment horizontal="right"/>
    </xf>
    <xf numFmtId="0" fontId="16" fillId="0" borderId="27" xfId="5" applyFont="1" applyBorder="1" applyAlignment="1">
      <alignment horizontal="center"/>
    </xf>
    <xf numFmtId="0" fontId="16" fillId="0" borderId="10" xfId="5" applyFont="1" applyBorder="1" applyAlignment="1">
      <alignment horizontal="right"/>
    </xf>
    <xf numFmtId="164" fontId="16" fillId="0" borderId="25" xfId="4" applyNumberFormat="1" applyFont="1" applyFill="1" applyBorder="1" applyAlignment="1" applyProtection="1">
      <alignment horizontal="right"/>
    </xf>
    <xf numFmtId="0" fontId="16" fillId="0" borderId="29" xfId="5" applyFont="1" applyBorder="1" applyAlignment="1">
      <alignment horizontal="center"/>
    </xf>
    <xf numFmtId="0" fontId="16" fillId="0" borderId="30" xfId="5" applyFont="1" applyBorder="1" applyAlignment="1">
      <alignment horizontal="right"/>
    </xf>
    <xf numFmtId="164" fontId="16" fillId="0" borderId="26" xfId="4" applyNumberFormat="1" applyFont="1" applyFill="1" applyBorder="1" applyAlignment="1" applyProtection="1">
      <alignment horizontal="right"/>
    </xf>
    <xf numFmtId="0" fontId="15" fillId="0" borderId="0" xfId="5" applyFont="1" applyAlignment="1">
      <alignment horizontal="right"/>
    </xf>
    <xf numFmtId="164" fontId="16" fillId="0" borderId="11" xfId="5" applyNumberFormat="1" applyFont="1" applyBorder="1"/>
    <xf numFmtId="0" fontId="16" fillId="0" borderId="18" xfId="0" applyFont="1" applyBorder="1"/>
    <xf numFmtId="0" fontId="16" fillId="0" borderId="19" xfId="0" applyFont="1" applyBorder="1" applyAlignment="1">
      <alignment horizontal="left"/>
    </xf>
    <xf numFmtId="0" fontId="16" fillId="0" borderId="19" xfId="0" applyFont="1" applyBorder="1" applyAlignment="1">
      <alignment horizontal="center"/>
    </xf>
    <xf numFmtId="164" fontId="16" fillId="0" borderId="20" xfId="0" applyNumberFormat="1" applyFont="1" applyBorder="1"/>
    <xf numFmtId="0" fontId="16" fillId="0" borderId="27" xfId="0" applyFont="1" applyBorder="1" applyAlignment="1">
      <alignment horizontal="center"/>
    </xf>
    <xf numFmtId="0" fontId="16" fillId="0" borderId="10" xfId="0" applyFont="1" applyBorder="1" applyAlignment="1">
      <alignment horizontal="left"/>
    </xf>
    <xf numFmtId="164" fontId="16" fillId="0" borderId="25" xfId="0" applyNumberFormat="1" applyFont="1" applyBorder="1"/>
    <xf numFmtId="0" fontId="16" fillId="0" borderId="27" xfId="0" applyFont="1" applyBorder="1"/>
    <xf numFmtId="0" fontId="16" fillId="0" borderId="29" xfId="0" applyFont="1" applyBorder="1"/>
    <xf numFmtId="164" fontId="16" fillId="0" borderId="26" xfId="0" applyNumberFormat="1" applyFont="1" applyBorder="1"/>
    <xf numFmtId="164" fontId="16" fillId="0" borderId="11" xfId="0" applyNumberFormat="1" applyFont="1" applyBorder="1"/>
    <xf numFmtId="0" fontId="5" fillId="6" borderId="0" xfId="0" applyFont="1" applyFill="1"/>
    <xf numFmtId="0" fontId="5" fillId="6" borderId="18" xfId="0" applyFont="1" applyFill="1" applyBorder="1" applyAlignment="1">
      <alignment horizontal="center"/>
    </xf>
    <xf numFmtId="0" fontId="5" fillId="6" borderId="19" xfId="0" applyFont="1" applyFill="1" applyBorder="1" applyAlignment="1">
      <alignment horizontal="center"/>
    </xf>
    <xf numFmtId="0" fontId="4" fillId="6" borderId="18" xfId="0" applyFont="1" applyFill="1" applyBorder="1"/>
    <xf numFmtId="0" fontId="4" fillId="6" borderId="19" xfId="0" applyFont="1" applyFill="1" applyBorder="1"/>
    <xf numFmtId="0" fontId="4" fillId="6" borderId="20" xfId="0" applyFont="1" applyFill="1" applyBorder="1"/>
    <xf numFmtId="0" fontId="5" fillId="6" borderId="18" xfId="0" applyFont="1" applyFill="1" applyBorder="1" applyAlignment="1">
      <alignment horizontal="right"/>
    </xf>
    <xf numFmtId="0" fontId="5" fillId="6" borderId="19" xfId="0" applyFont="1" applyFill="1" applyBorder="1" applyAlignment="1">
      <alignment horizontal="right"/>
    </xf>
    <xf numFmtId="0" fontId="4" fillId="6" borderId="20" xfId="0" applyFont="1" applyFill="1" applyBorder="1" applyAlignment="1">
      <alignment horizontal="right"/>
    </xf>
    <xf numFmtId="0" fontId="5" fillId="6" borderId="19" xfId="0" applyFont="1" applyFill="1" applyBorder="1"/>
    <xf numFmtId="0" fontId="4" fillId="6" borderId="40" xfId="0" applyFont="1" applyFill="1" applyBorder="1"/>
    <xf numFmtId="0" fontId="4" fillId="6" borderId="21" xfId="0" applyFont="1" applyFill="1" applyBorder="1"/>
    <xf numFmtId="0" fontId="5" fillId="6" borderId="27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4" fillId="6" borderId="27" xfId="0" applyFont="1" applyFill="1" applyBorder="1"/>
    <xf numFmtId="0" fontId="4" fillId="6" borderId="10" xfId="0" applyFont="1" applyFill="1" applyBorder="1"/>
    <xf numFmtId="0" fontId="4" fillId="6" borderId="25" xfId="0" applyFont="1" applyFill="1" applyBorder="1"/>
    <xf numFmtId="0" fontId="5" fillId="6" borderId="27" xfId="0" applyFont="1" applyFill="1" applyBorder="1" applyAlignment="1">
      <alignment horizontal="right"/>
    </xf>
    <xf numFmtId="0" fontId="5" fillId="6" borderId="10" xfId="0" applyFont="1" applyFill="1" applyBorder="1" applyAlignment="1">
      <alignment horizontal="right"/>
    </xf>
    <xf numFmtId="0" fontId="4" fillId="6" borderId="25" xfId="0" applyFont="1" applyFill="1" applyBorder="1" applyAlignment="1">
      <alignment horizontal="right"/>
    </xf>
    <xf numFmtId="0" fontId="4" fillId="6" borderId="32" xfId="0" applyFont="1" applyFill="1" applyBorder="1"/>
    <xf numFmtId="0" fontId="4" fillId="6" borderId="24" xfId="0" applyFont="1" applyFill="1" applyBorder="1"/>
    <xf numFmtId="0" fontId="4" fillId="6" borderId="10" xfId="0" applyFont="1" applyFill="1" applyBorder="1" applyAlignment="1">
      <alignment horizontal="center"/>
    </xf>
    <xf numFmtId="0" fontId="4" fillId="6" borderId="22" xfId="0" applyFont="1" applyFill="1" applyBorder="1"/>
    <xf numFmtId="0" fontId="5" fillId="6" borderId="10" xfId="0" applyFont="1" applyFill="1" applyBorder="1"/>
    <xf numFmtId="0" fontId="5" fillId="6" borderId="27" xfId="0" applyFont="1" applyFill="1" applyBorder="1"/>
    <xf numFmtId="0" fontId="5" fillId="6" borderId="25" xfId="0" applyFont="1" applyFill="1" applyBorder="1"/>
    <xf numFmtId="0" fontId="5" fillId="6" borderId="36" xfId="0" applyFont="1" applyFill="1" applyBorder="1"/>
    <xf numFmtId="0" fontId="4" fillId="6" borderId="36" xfId="0" applyFont="1" applyFill="1" applyBorder="1"/>
    <xf numFmtId="0" fontId="5" fillId="6" borderId="29" xfId="0" applyFont="1" applyFill="1" applyBorder="1"/>
    <xf numFmtId="0" fontId="5" fillId="6" borderId="30" xfId="0" applyFont="1" applyFill="1" applyBorder="1"/>
    <xf numFmtId="0" fontId="5" fillId="6" borderId="26" xfId="0" applyFont="1" applyFill="1" applyBorder="1"/>
    <xf numFmtId="0" fontId="5" fillId="6" borderId="29" xfId="0" applyFont="1" applyFill="1" applyBorder="1" applyAlignment="1">
      <alignment horizontal="right"/>
    </xf>
    <xf numFmtId="0" fontId="5" fillId="6" borderId="30" xfId="0" applyFont="1" applyFill="1" applyBorder="1" applyAlignment="1">
      <alignment horizontal="right"/>
    </xf>
    <xf numFmtId="0" fontId="4" fillId="6" borderId="26" xfId="0" applyFont="1" applyFill="1" applyBorder="1" applyAlignment="1">
      <alignment horizontal="right"/>
    </xf>
    <xf numFmtId="0" fontId="4" fillId="6" borderId="29" xfId="0" applyFont="1" applyFill="1" applyBorder="1"/>
    <xf numFmtId="0" fontId="4" fillId="6" borderId="30" xfId="0" applyFont="1" applyFill="1" applyBorder="1"/>
    <xf numFmtId="0" fontId="4" fillId="6" borderId="26" xfId="0" applyFont="1" applyFill="1" applyBorder="1"/>
    <xf numFmtId="0" fontId="4" fillId="6" borderId="31" xfId="0" applyFont="1" applyFill="1" applyBorder="1"/>
    <xf numFmtId="49" fontId="5" fillId="3" borderId="12" xfId="0" applyNumberFormat="1" applyFont="1" applyFill="1" applyBorder="1"/>
    <xf numFmtId="0" fontId="5" fillId="6" borderId="4" xfId="0" applyFont="1" applyFill="1" applyBorder="1"/>
    <xf numFmtId="0" fontId="5" fillId="6" borderId="20" xfId="0" applyFont="1" applyFill="1" applyBorder="1"/>
    <xf numFmtId="0" fontId="5" fillId="6" borderId="18" xfId="0" applyFont="1" applyFill="1" applyBorder="1"/>
    <xf numFmtId="0" fontId="5" fillId="6" borderId="41" xfId="0" applyFont="1" applyFill="1" applyBorder="1"/>
    <xf numFmtId="0" fontId="5" fillId="6" borderId="42" xfId="0" applyFont="1" applyFill="1" applyBorder="1"/>
    <xf numFmtId="0" fontId="5" fillId="0" borderId="29" xfId="0" applyFont="1" applyBorder="1"/>
    <xf numFmtId="0" fontId="5" fillId="0" borderId="30" xfId="0" applyFont="1" applyBorder="1"/>
    <xf numFmtId="0" fontId="5" fillId="0" borderId="26" xfId="0" applyFont="1" applyBorder="1"/>
    <xf numFmtId="0" fontId="4" fillId="6" borderId="42" xfId="0" applyFont="1" applyFill="1" applyBorder="1"/>
    <xf numFmtId="0" fontId="4" fillId="0" borderId="26" xfId="0" applyFont="1" applyBorder="1"/>
    <xf numFmtId="0" fontId="5" fillId="6" borderId="41" xfId="0" applyFont="1" applyFill="1" applyBorder="1" applyAlignment="1">
      <alignment horizontal="right"/>
    </xf>
    <xf numFmtId="0" fontId="5" fillId="6" borderId="36" xfId="0" applyFont="1" applyFill="1" applyBorder="1" applyAlignment="1">
      <alignment horizontal="right"/>
    </xf>
    <xf numFmtId="0" fontId="4" fillId="6" borderId="42" xfId="0" applyFont="1" applyFill="1" applyBorder="1" applyAlignment="1">
      <alignment horizontal="right"/>
    </xf>
    <xf numFmtId="0" fontId="5" fillId="0" borderId="29" xfId="0" applyFont="1" applyBorder="1" applyAlignment="1">
      <alignment horizontal="right"/>
    </xf>
    <xf numFmtId="0" fontId="5" fillId="0" borderId="30" xfId="0" applyFont="1" applyBorder="1" applyAlignment="1">
      <alignment horizontal="right"/>
    </xf>
    <xf numFmtId="0" fontId="4" fillId="0" borderId="26" xfId="0" applyFont="1" applyBorder="1" applyAlignment="1">
      <alignment horizontal="right"/>
    </xf>
    <xf numFmtId="0" fontId="4" fillId="3" borderId="2" xfId="0" applyFont="1" applyFill="1" applyBorder="1"/>
    <xf numFmtId="0" fontId="4" fillId="3" borderId="6" xfId="1" applyFont="1" applyFill="1" applyBorder="1" applyAlignment="1">
      <alignment textRotation="90"/>
    </xf>
    <xf numFmtId="0" fontId="14" fillId="3" borderId="13" xfId="0" applyFont="1" applyFill="1" applyBorder="1"/>
    <xf numFmtId="0" fontId="24" fillId="0" borderId="0" xfId="13"/>
    <xf numFmtId="14" fontId="1" fillId="0" borderId="17" xfId="12" applyNumberFormat="1" applyFont="1" applyBorder="1"/>
    <xf numFmtId="164" fontId="1" fillId="0" borderId="0" xfId="12" applyNumberFormat="1" applyFont="1"/>
    <xf numFmtId="0" fontId="1" fillId="0" borderId="0" xfId="12" applyFont="1"/>
    <xf numFmtId="0" fontId="1" fillId="0" borderId="17" xfId="12" applyFont="1" applyBorder="1"/>
    <xf numFmtId="0" fontId="25" fillId="0" borderId="0" xfId="8" applyFont="1"/>
    <xf numFmtId="0" fontId="4" fillId="0" borderId="38" xfId="0" applyFont="1" applyBorder="1"/>
    <xf numFmtId="0" fontId="4" fillId="3" borderId="9" xfId="0" applyFont="1" applyFill="1" applyBorder="1"/>
    <xf numFmtId="0" fontId="6" fillId="7" borderId="32" xfId="0" applyFont="1" applyFill="1" applyBorder="1"/>
    <xf numFmtId="0" fontId="6" fillId="7" borderId="9" xfId="0" applyFont="1" applyFill="1" applyBorder="1"/>
    <xf numFmtId="0" fontId="6" fillId="7" borderId="9" xfId="0" applyFont="1" applyFill="1" applyBorder="1" applyAlignment="1">
      <alignment horizontal="center"/>
    </xf>
    <xf numFmtId="0" fontId="9" fillId="7" borderId="9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left"/>
    </xf>
    <xf numFmtId="0" fontId="4" fillId="3" borderId="13" xfId="0" applyFont="1" applyFill="1" applyBorder="1" applyAlignment="1">
      <alignment horizontal="left"/>
    </xf>
    <xf numFmtId="0" fontId="4" fillId="3" borderId="14" xfId="0" applyFont="1" applyFill="1" applyBorder="1" applyAlignment="1">
      <alignment horizontal="left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14" fontId="2" fillId="0" borderId="17" xfId="12" applyNumberFormat="1" applyBorder="1" applyAlignment="1">
      <alignment horizontal="center"/>
    </xf>
    <xf numFmtId="0" fontId="19" fillId="0" borderId="0" xfId="12" applyFont="1" applyAlignment="1">
      <alignment horizontal="center" vertical="center" readingOrder="1"/>
    </xf>
    <xf numFmtId="0" fontId="20" fillId="4" borderId="0" xfId="12" applyFont="1" applyFill="1" applyAlignment="1">
      <alignment horizontal="center" vertical="center" readingOrder="1"/>
    </xf>
    <xf numFmtId="0" fontId="23" fillId="5" borderId="0" xfId="12" applyFont="1" applyFill="1" applyAlignment="1">
      <alignment horizontal="center" vertical="center" wrapText="1"/>
    </xf>
  </cellXfs>
  <cellStyles count="14">
    <cellStyle name="40% - Accent1 2" xfId="1" xr:uid="{00000000-0005-0000-0000-000000000000}"/>
    <cellStyle name="Currency 2" xfId="3" xr:uid="{00000000-0005-0000-0000-000001000000}"/>
    <cellStyle name="Currency 2 2" xfId="4" xr:uid="{00000000-0005-0000-0000-000002000000}"/>
    <cellStyle name="Currency 3" xfId="9" xr:uid="{00000000-0005-0000-0000-000003000000}"/>
    <cellStyle name="Hyperlink" xfId="13" builtinId="8"/>
    <cellStyle name="Hyperlink 2" xfId="2" xr:uid="{00000000-0005-0000-0000-000005000000}"/>
    <cellStyle name="Hyperlink 3" xfId="10" xr:uid="{00000000-0005-0000-0000-000006000000}"/>
    <cellStyle name="Normal" xfId="0" builtinId="0"/>
    <cellStyle name="Normal 2" xfId="5" xr:uid="{00000000-0005-0000-0000-000008000000}"/>
    <cellStyle name="Normal 2 2" xfId="11" xr:uid="{00000000-0005-0000-0000-000009000000}"/>
    <cellStyle name="Normal 3" xfId="6" xr:uid="{00000000-0005-0000-0000-00000A000000}"/>
    <cellStyle name="Normal 4" xfId="7" xr:uid="{00000000-0005-0000-0000-00000B000000}"/>
    <cellStyle name="Normal 5" xfId="8" xr:uid="{00000000-0005-0000-0000-00000C000000}"/>
    <cellStyle name="Normal 6" xfId="12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38</xdr:row>
      <xdr:rowOff>0</xdr:rowOff>
    </xdr:from>
    <xdr:to>
      <xdr:col>0</xdr:col>
      <xdr:colOff>175260</xdr:colOff>
      <xdr:row>38</xdr:row>
      <xdr:rowOff>167640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2860" y="6949440"/>
          <a:ext cx="152400" cy="16764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22860</xdr:colOff>
      <xdr:row>39</xdr:row>
      <xdr:rowOff>0</xdr:rowOff>
    </xdr:from>
    <xdr:to>
      <xdr:col>0</xdr:col>
      <xdr:colOff>175260</xdr:colOff>
      <xdr:row>39</xdr:row>
      <xdr:rowOff>167640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2860" y="7132320"/>
          <a:ext cx="152400" cy="16764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22860</xdr:colOff>
      <xdr:row>40</xdr:row>
      <xdr:rowOff>0</xdr:rowOff>
    </xdr:from>
    <xdr:to>
      <xdr:col>0</xdr:col>
      <xdr:colOff>175260</xdr:colOff>
      <xdr:row>40</xdr:row>
      <xdr:rowOff>167640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2860" y="7315200"/>
          <a:ext cx="152400" cy="16764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22860</xdr:colOff>
      <xdr:row>38</xdr:row>
      <xdr:rowOff>7620</xdr:rowOff>
    </xdr:from>
    <xdr:to>
      <xdr:col>0</xdr:col>
      <xdr:colOff>175260</xdr:colOff>
      <xdr:row>38</xdr:row>
      <xdr:rowOff>175260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2860" y="7246620"/>
          <a:ext cx="152400" cy="16764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22860</xdr:colOff>
      <xdr:row>39</xdr:row>
      <xdr:rowOff>0</xdr:rowOff>
    </xdr:from>
    <xdr:to>
      <xdr:col>0</xdr:col>
      <xdr:colOff>175260</xdr:colOff>
      <xdr:row>39</xdr:row>
      <xdr:rowOff>167640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2860" y="7429500"/>
          <a:ext cx="152400" cy="16764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22860</xdr:colOff>
      <xdr:row>40</xdr:row>
      <xdr:rowOff>0</xdr:rowOff>
    </xdr:from>
    <xdr:to>
      <xdr:col>0</xdr:col>
      <xdr:colOff>175260</xdr:colOff>
      <xdr:row>40</xdr:row>
      <xdr:rowOff>167640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2860" y="7620000"/>
          <a:ext cx="152400" cy="16764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22860</xdr:colOff>
      <xdr:row>41</xdr:row>
      <xdr:rowOff>0</xdr:rowOff>
    </xdr:from>
    <xdr:to>
      <xdr:col>0</xdr:col>
      <xdr:colOff>175260</xdr:colOff>
      <xdr:row>41</xdr:row>
      <xdr:rowOff>167640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2860" y="7810500"/>
          <a:ext cx="152400" cy="16764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22860</xdr:colOff>
      <xdr:row>42</xdr:row>
      <xdr:rowOff>0</xdr:rowOff>
    </xdr:from>
    <xdr:to>
      <xdr:col>0</xdr:col>
      <xdr:colOff>175260</xdr:colOff>
      <xdr:row>42</xdr:row>
      <xdr:rowOff>167640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2860" y="8001000"/>
          <a:ext cx="152400" cy="16764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22860</xdr:colOff>
      <xdr:row>38</xdr:row>
      <xdr:rowOff>0</xdr:rowOff>
    </xdr:from>
    <xdr:to>
      <xdr:col>0</xdr:col>
      <xdr:colOff>175260</xdr:colOff>
      <xdr:row>38</xdr:row>
      <xdr:rowOff>167640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2860" y="7239000"/>
          <a:ext cx="152400" cy="16764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22860</xdr:colOff>
      <xdr:row>39</xdr:row>
      <xdr:rowOff>0</xdr:rowOff>
    </xdr:from>
    <xdr:to>
      <xdr:col>0</xdr:col>
      <xdr:colOff>175260</xdr:colOff>
      <xdr:row>39</xdr:row>
      <xdr:rowOff>167640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2860" y="7429500"/>
          <a:ext cx="152400" cy="16764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22860</xdr:colOff>
      <xdr:row>40</xdr:row>
      <xdr:rowOff>0</xdr:rowOff>
    </xdr:from>
    <xdr:to>
      <xdr:col>0</xdr:col>
      <xdr:colOff>175260</xdr:colOff>
      <xdr:row>40</xdr:row>
      <xdr:rowOff>167640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2860" y="7620000"/>
          <a:ext cx="152400" cy="16764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22860</xdr:colOff>
      <xdr:row>41</xdr:row>
      <xdr:rowOff>0</xdr:rowOff>
    </xdr:from>
    <xdr:to>
      <xdr:col>0</xdr:col>
      <xdr:colOff>175260</xdr:colOff>
      <xdr:row>41</xdr:row>
      <xdr:rowOff>167640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22860" y="7810500"/>
          <a:ext cx="152400" cy="16764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22860</xdr:colOff>
      <xdr:row>38</xdr:row>
      <xdr:rowOff>0</xdr:rowOff>
    </xdr:from>
    <xdr:to>
      <xdr:col>0</xdr:col>
      <xdr:colOff>175260</xdr:colOff>
      <xdr:row>38</xdr:row>
      <xdr:rowOff>167640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2860" y="7239000"/>
          <a:ext cx="152400" cy="16764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22860</xdr:colOff>
      <xdr:row>39</xdr:row>
      <xdr:rowOff>0</xdr:rowOff>
    </xdr:from>
    <xdr:to>
      <xdr:col>0</xdr:col>
      <xdr:colOff>175260</xdr:colOff>
      <xdr:row>39</xdr:row>
      <xdr:rowOff>167640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22860" y="7429500"/>
          <a:ext cx="152400" cy="16764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22860</xdr:colOff>
      <xdr:row>40</xdr:row>
      <xdr:rowOff>0</xdr:rowOff>
    </xdr:from>
    <xdr:to>
      <xdr:col>0</xdr:col>
      <xdr:colOff>175260</xdr:colOff>
      <xdr:row>40</xdr:row>
      <xdr:rowOff>167640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2860" y="7620000"/>
          <a:ext cx="152400" cy="16764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22860</xdr:colOff>
      <xdr:row>38</xdr:row>
      <xdr:rowOff>7620</xdr:rowOff>
    </xdr:from>
    <xdr:to>
      <xdr:col>0</xdr:col>
      <xdr:colOff>175260</xdr:colOff>
      <xdr:row>38</xdr:row>
      <xdr:rowOff>175260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22860" y="7246620"/>
          <a:ext cx="152400" cy="16764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22860</xdr:colOff>
      <xdr:row>39</xdr:row>
      <xdr:rowOff>0</xdr:rowOff>
    </xdr:from>
    <xdr:to>
      <xdr:col>0</xdr:col>
      <xdr:colOff>175260</xdr:colOff>
      <xdr:row>39</xdr:row>
      <xdr:rowOff>167640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2860" y="7429500"/>
          <a:ext cx="152400" cy="16764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22860</xdr:colOff>
      <xdr:row>40</xdr:row>
      <xdr:rowOff>0</xdr:rowOff>
    </xdr:from>
    <xdr:to>
      <xdr:col>0</xdr:col>
      <xdr:colOff>175260</xdr:colOff>
      <xdr:row>40</xdr:row>
      <xdr:rowOff>167640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22860" y="7620000"/>
          <a:ext cx="152400" cy="16764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22860</xdr:colOff>
      <xdr:row>41</xdr:row>
      <xdr:rowOff>0</xdr:rowOff>
    </xdr:from>
    <xdr:to>
      <xdr:col>0</xdr:col>
      <xdr:colOff>175260</xdr:colOff>
      <xdr:row>41</xdr:row>
      <xdr:rowOff>167640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2860" y="7810500"/>
          <a:ext cx="152400" cy="16764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22860</xdr:colOff>
      <xdr:row>42</xdr:row>
      <xdr:rowOff>0</xdr:rowOff>
    </xdr:from>
    <xdr:to>
      <xdr:col>0</xdr:col>
      <xdr:colOff>175260</xdr:colOff>
      <xdr:row>42</xdr:row>
      <xdr:rowOff>167640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22860" y="8001000"/>
          <a:ext cx="152400" cy="16764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104775</xdr:colOff>
      <xdr:row>28</xdr:row>
      <xdr:rowOff>76201</xdr:rowOff>
    </xdr:from>
    <xdr:to>
      <xdr:col>8</xdr:col>
      <xdr:colOff>257175</xdr:colOff>
      <xdr:row>36</xdr:row>
      <xdr:rowOff>153147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5410201"/>
          <a:ext cx="1924050" cy="16009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221171</xdr:colOff>
      <xdr:row>4</xdr:row>
      <xdr:rowOff>15307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02371" cy="7773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215900</xdr:rowOff>
    </xdr:from>
    <xdr:to>
      <xdr:col>1</xdr:col>
      <xdr:colOff>2379345</xdr:colOff>
      <xdr:row>11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0" y="1447800"/>
          <a:ext cx="2708275" cy="2241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864" tIns="50292" rIns="54864" bIns="0" anchor="ctr" upright="1"/>
        <a:lstStyle/>
        <a:p>
          <a:pPr algn="ctr" rtl="0">
            <a:defRPr sz="1000"/>
          </a:pPr>
          <a:r>
            <a:rPr lang="en-US" sz="3600" b="1" i="0" u="none" strike="noStrike" baseline="0">
              <a:solidFill>
                <a:srgbClr val="000000"/>
              </a:solidFill>
              <a:latin typeface="Calibri"/>
            </a:rPr>
            <a:t>Irrigation Inspection Report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8</xdr:col>
      <xdr:colOff>287846</xdr:colOff>
      <xdr:row>3</xdr:row>
      <xdr:rowOff>167707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285750"/>
          <a:ext cx="2278571" cy="7614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215900</xdr:rowOff>
    </xdr:from>
    <xdr:to>
      <xdr:col>1</xdr:col>
      <xdr:colOff>2383155</xdr:colOff>
      <xdr:row>11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0" y="1282700"/>
          <a:ext cx="2667000" cy="2247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864" tIns="50292" rIns="54864" bIns="0" anchor="ctr" upright="1"/>
        <a:lstStyle/>
        <a:p>
          <a:pPr algn="ctr" rtl="0">
            <a:defRPr sz="1000"/>
          </a:pPr>
          <a:r>
            <a:rPr lang="en-US" sz="3600" b="1" i="0" u="none" strike="noStrike" baseline="0">
              <a:solidFill>
                <a:srgbClr val="000000"/>
              </a:solidFill>
              <a:latin typeface="Calibri"/>
            </a:rPr>
            <a:t>Irrigation Inspection Report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8</xdr:col>
      <xdr:colOff>284036</xdr:colOff>
      <xdr:row>3</xdr:row>
      <xdr:rowOff>171517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6250" y="285750"/>
          <a:ext cx="2202371" cy="7773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38101</xdr:colOff>
      <xdr:row>0</xdr:row>
      <xdr:rowOff>0</xdr:rowOff>
    </xdr:from>
    <xdr:to>
      <xdr:col>10</xdr:col>
      <xdr:colOff>617220</xdr:colOff>
      <xdr:row>7</xdr:row>
      <xdr:rowOff>7619</xdr:rowOff>
    </xdr:to>
    <xdr:pic>
      <xdr:nvPicPr>
        <xdr:cNvPr id="2" name="Picture 1" descr="benchmark logo 8-8-08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biLevel thresh="50000"/>
        </a:blip>
        <a:srcRect/>
        <a:stretch>
          <a:fillRect/>
        </a:stretch>
      </xdr:blipFill>
      <xdr:spPr bwMode="auto">
        <a:xfrm>
          <a:off x="1257301" y="0"/>
          <a:ext cx="3299459" cy="914399"/>
        </a:xfrm>
        <a:prstGeom prst="rect">
          <a:avLst/>
        </a:prstGeom>
        <a:noFill/>
        <a:ln w="9525" algn="in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215900</xdr:rowOff>
    </xdr:from>
    <xdr:to>
      <xdr:col>1</xdr:col>
      <xdr:colOff>2390775</xdr:colOff>
      <xdr:row>11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0" y="1457960"/>
          <a:ext cx="2703195" cy="22453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864" tIns="50292" rIns="54864" bIns="0" anchor="ctr" upright="1"/>
        <a:lstStyle/>
        <a:p>
          <a:pPr algn="ctr" rtl="0">
            <a:defRPr sz="1000"/>
          </a:pPr>
          <a:r>
            <a:rPr lang="en-US" sz="3600" b="1" i="0" u="none" strike="noStrike" baseline="0">
              <a:solidFill>
                <a:srgbClr val="000000"/>
              </a:solidFill>
              <a:latin typeface="Calibri"/>
            </a:rPr>
            <a:t>Irrigation Inspection Report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8</xdr:col>
      <xdr:colOff>297371</xdr:colOff>
      <xdr:row>3</xdr:row>
      <xdr:rowOff>158182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6250" y="285750"/>
          <a:ext cx="2202371" cy="77730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215900</xdr:rowOff>
    </xdr:from>
    <xdr:to>
      <xdr:col>1</xdr:col>
      <xdr:colOff>2379345</xdr:colOff>
      <xdr:row>11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0" y="1447800"/>
          <a:ext cx="2708275" cy="2241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864" tIns="50292" rIns="54864" bIns="0" anchor="ctr" upright="1"/>
        <a:lstStyle/>
        <a:p>
          <a:pPr algn="ctr" rtl="0">
            <a:defRPr sz="1000"/>
          </a:pPr>
          <a:r>
            <a:rPr lang="en-US" sz="3600" b="1" i="0" u="none" strike="noStrike" baseline="0">
              <a:solidFill>
                <a:srgbClr val="000000"/>
              </a:solidFill>
              <a:latin typeface="Calibri"/>
            </a:rPr>
            <a:t>Irrigation Inspection Report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8</xdr:col>
      <xdr:colOff>287846</xdr:colOff>
      <xdr:row>3</xdr:row>
      <xdr:rowOff>167707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285750"/>
          <a:ext cx="2278571" cy="7614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215900</xdr:rowOff>
    </xdr:from>
    <xdr:to>
      <xdr:col>1</xdr:col>
      <xdr:colOff>2383155</xdr:colOff>
      <xdr:row>11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0" y="1457960"/>
          <a:ext cx="2703195" cy="22453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864" tIns="50292" rIns="54864" bIns="0" anchor="ctr" upright="1"/>
        <a:lstStyle/>
        <a:p>
          <a:pPr algn="ctr" rtl="0">
            <a:defRPr sz="1000"/>
          </a:pPr>
          <a:r>
            <a:rPr lang="en-US" sz="3600" b="1" i="0" u="none" strike="noStrike" baseline="0">
              <a:solidFill>
                <a:srgbClr val="000000"/>
              </a:solidFill>
              <a:latin typeface="Calibri"/>
            </a:rPr>
            <a:t>Irrigation Inspection Report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8</xdr:col>
      <xdr:colOff>291656</xdr:colOff>
      <xdr:row>3</xdr:row>
      <xdr:rowOff>163897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6250" y="285750"/>
          <a:ext cx="2202371" cy="77730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38101</xdr:colOff>
      <xdr:row>0</xdr:row>
      <xdr:rowOff>0</xdr:rowOff>
    </xdr:from>
    <xdr:to>
      <xdr:col>10</xdr:col>
      <xdr:colOff>617220</xdr:colOff>
      <xdr:row>7</xdr:row>
      <xdr:rowOff>7619</xdr:rowOff>
    </xdr:to>
    <xdr:pic>
      <xdr:nvPicPr>
        <xdr:cNvPr id="2" name="Picture 1" descr="benchmark logo 8-8-08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biLevel thresh="50000"/>
        </a:blip>
        <a:srcRect/>
        <a:stretch>
          <a:fillRect/>
        </a:stretch>
      </xdr:blipFill>
      <xdr:spPr bwMode="auto">
        <a:xfrm>
          <a:off x="1257301" y="0"/>
          <a:ext cx="3299459" cy="914399"/>
        </a:xfrm>
        <a:prstGeom prst="rect">
          <a:avLst/>
        </a:prstGeom>
        <a:noFill/>
        <a:ln w="9525" algn="in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38101</xdr:colOff>
      <xdr:row>0</xdr:row>
      <xdr:rowOff>0</xdr:rowOff>
    </xdr:from>
    <xdr:to>
      <xdr:col>10</xdr:col>
      <xdr:colOff>617220</xdr:colOff>
      <xdr:row>7</xdr:row>
      <xdr:rowOff>7619</xdr:rowOff>
    </xdr:to>
    <xdr:pic>
      <xdr:nvPicPr>
        <xdr:cNvPr id="2" name="Picture 1" descr="benchmark logo 8-8-08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biLevel thresh="50000"/>
        </a:blip>
        <a:srcRect/>
        <a:stretch>
          <a:fillRect/>
        </a:stretch>
      </xdr:blipFill>
      <xdr:spPr bwMode="auto">
        <a:xfrm>
          <a:off x="1257301" y="0"/>
          <a:ext cx="3299459" cy="914399"/>
        </a:xfrm>
        <a:prstGeom prst="rect">
          <a:avLst/>
        </a:prstGeom>
        <a:noFill/>
        <a:ln w="9525" algn="in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129540</xdr:colOff>
      <xdr:row>0</xdr:row>
      <xdr:rowOff>0</xdr:rowOff>
    </xdr:from>
    <xdr:to>
      <xdr:col>10</xdr:col>
      <xdr:colOff>525779</xdr:colOff>
      <xdr:row>7</xdr:row>
      <xdr:rowOff>7619</xdr:rowOff>
    </xdr:to>
    <xdr:pic>
      <xdr:nvPicPr>
        <xdr:cNvPr id="3" name="Picture 2" descr="benchmark logo 8-8-08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biLevel thresh="50000"/>
        </a:blip>
        <a:srcRect/>
        <a:stretch>
          <a:fillRect/>
        </a:stretch>
      </xdr:blipFill>
      <xdr:spPr bwMode="auto">
        <a:xfrm>
          <a:off x="1348740" y="0"/>
          <a:ext cx="3299459" cy="914399"/>
        </a:xfrm>
        <a:prstGeom prst="rect">
          <a:avLst/>
        </a:prstGeom>
        <a:noFill/>
        <a:ln w="9525" algn="in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Wizard.Herrera@brightview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K49"/>
  <sheetViews>
    <sheetView workbookViewId="0">
      <selection activeCell="K8" sqref="K8"/>
    </sheetView>
  </sheetViews>
  <sheetFormatPr defaultColWidth="8.7109375" defaultRowHeight="15"/>
  <cols>
    <col min="1" max="1" width="3.28515625" style="35" customWidth="1"/>
    <col min="2" max="10" width="8.7109375" style="35"/>
    <col min="11" max="11" width="10.7109375" style="35" bestFit="1" customWidth="1"/>
    <col min="12" max="16384" width="8.7109375" style="35"/>
  </cols>
  <sheetData>
    <row r="5" spans="1:11">
      <c r="A5" s="266" t="s">
        <v>0</v>
      </c>
      <c r="B5" s="266"/>
      <c r="C5" s="266"/>
      <c r="D5" s="266"/>
      <c r="E5" s="266"/>
      <c r="F5" s="266"/>
      <c r="G5" s="266"/>
      <c r="H5" s="266"/>
      <c r="I5" s="266"/>
      <c r="J5" s="266"/>
      <c r="K5" s="266"/>
    </row>
    <row r="6" spans="1:11">
      <c r="A6" s="267" t="s">
        <v>1</v>
      </c>
      <c r="B6" s="267"/>
      <c r="C6" s="267"/>
      <c r="D6" s="267"/>
      <c r="E6" s="267"/>
      <c r="F6" s="267"/>
      <c r="G6" s="267"/>
      <c r="H6" s="267"/>
      <c r="I6" s="267"/>
      <c r="J6" s="267"/>
      <c r="K6" s="267"/>
    </row>
    <row r="8" spans="1:11">
      <c r="A8" s="35" t="str">
        <f>'Controller A(2)'!G6</f>
        <v>Amazon</v>
      </c>
      <c r="J8" s="36" t="s">
        <v>2</v>
      </c>
      <c r="K8" s="242" t="s">
        <v>3</v>
      </c>
    </row>
    <row r="9" spans="1:11">
      <c r="A9" s="35" t="str">
        <f>'Controller A(2)'!G7</f>
        <v>2956 Main Street</v>
      </c>
      <c r="J9" s="36" t="s">
        <v>4</v>
      </c>
      <c r="K9" s="37">
        <f>'Controller A(2)'!G9</f>
        <v>0</v>
      </c>
    </row>
    <row r="10" spans="1:11">
      <c r="A10" s="35" t="str">
        <f>'Controller A(2)'!G8</f>
        <v>Buda, Texas</v>
      </c>
    </row>
    <row r="12" spans="1:11">
      <c r="A12" s="35" t="s">
        <v>5</v>
      </c>
    </row>
    <row r="14" spans="1:11">
      <c r="B14" s="35" t="s">
        <v>6</v>
      </c>
      <c r="I14" s="265" t="str">
        <f>'Controller A(2)'!G10</f>
        <v>9.25.2024</v>
      </c>
      <c r="J14" s="265"/>
    </row>
    <row r="15" spans="1:11">
      <c r="B15" s="38"/>
    </row>
    <row r="16" spans="1:11">
      <c r="B16" s="35" t="s">
        <v>7</v>
      </c>
    </row>
    <row r="17" spans="2:11">
      <c r="B17" s="38"/>
    </row>
    <row r="18" spans="2:11">
      <c r="B18" s="35" t="s">
        <v>8</v>
      </c>
      <c r="K18" s="243">
        <v>14451.31</v>
      </c>
    </row>
    <row r="19" spans="2:11">
      <c r="B19" s="38"/>
    </row>
    <row r="20" spans="2:11">
      <c r="B20" s="35" t="s">
        <v>9</v>
      </c>
      <c r="K20" s="39"/>
    </row>
    <row r="21" spans="2:11">
      <c r="B21" s="38"/>
    </row>
    <row r="22" spans="2:11">
      <c r="B22" s="35" t="s">
        <v>10</v>
      </c>
      <c r="K22" s="39">
        <f>SUM(K18:K20)</f>
        <v>14451.31</v>
      </c>
    </row>
    <row r="23" spans="2:11">
      <c r="B23" s="38"/>
    </row>
    <row r="24" spans="2:11">
      <c r="B24" s="244" t="s">
        <v>11</v>
      </c>
      <c r="K24" s="39"/>
    </row>
    <row r="25" spans="2:11">
      <c r="B25" s="38"/>
    </row>
    <row r="26" spans="2:11">
      <c r="B26" s="35" t="s">
        <v>12</v>
      </c>
      <c r="K26" s="42">
        <f>SUM(K22:K24)</f>
        <v>14451.31</v>
      </c>
    </row>
    <row r="27" spans="2:11">
      <c r="B27" s="38"/>
    </row>
    <row r="28" spans="2:11">
      <c r="B28" s="244" t="s">
        <v>13</v>
      </c>
    </row>
    <row r="29" spans="2:11">
      <c r="B29" s="38"/>
    </row>
    <row r="30" spans="2:11">
      <c r="B30" s="38"/>
      <c r="C30" s="40" t="s">
        <v>14</v>
      </c>
    </row>
    <row r="31" spans="2:11">
      <c r="C31" s="40" t="s">
        <v>15</v>
      </c>
    </row>
    <row r="32" spans="2:11">
      <c r="B32" s="38"/>
      <c r="C32" s="40" t="s">
        <v>16</v>
      </c>
    </row>
    <row r="33" spans="1:11">
      <c r="B33" s="38"/>
      <c r="C33" s="241" t="s">
        <v>17</v>
      </c>
    </row>
    <row r="34" spans="1:11">
      <c r="B34" s="38"/>
      <c r="C34" s="40" t="s">
        <v>18</v>
      </c>
    </row>
    <row r="35" spans="1:11">
      <c r="B35" s="38"/>
      <c r="C35" s="40" t="s">
        <v>19</v>
      </c>
    </row>
    <row r="36" spans="1:11">
      <c r="C36" s="40" t="s">
        <v>20</v>
      </c>
    </row>
    <row r="38" spans="1:11">
      <c r="A38" s="244" t="s">
        <v>21</v>
      </c>
      <c r="B38" s="38"/>
    </row>
    <row r="39" spans="1:11">
      <c r="B39" s="244" t="s">
        <v>22</v>
      </c>
    </row>
    <row r="40" spans="1:11">
      <c r="B40" s="244" t="s">
        <v>23</v>
      </c>
    </row>
    <row r="41" spans="1:11">
      <c r="B41" s="244" t="s">
        <v>24</v>
      </c>
    </row>
    <row r="42" spans="1:11">
      <c r="B42" s="244" t="s">
        <v>25</v>
      </c>
    </row>
    <row r="43" spans="1:11">
      <c r="B43" s="244" t="s">
        <v>26</v>
      </c>
    </row>
    <row r="44" spans="1:11">
      <c r="B44" s="244"/>
    </row>
    <row r="45" spans="1:11">
      <c r="A45" s="41"/>
      <c r="B45" s="245"/>
      <c r="C45" s="41"/>
      <c r="D45" s="41"/>
      <c r="E45" s="41"/>
      <c r="F45" s="41"/>
      <c r="I45" s="41"/>
      <c r="J45" s="41"/>
    </row>
    <row r="46" spans="1:11">
      <c r="A46" s="35" t="s">
        <v>27</v>
      </c>
      <c r="I46" s="35" t="s">
        <v>28</v>
      </c>
    </row>
    <row r="48" spans="1:11" ht="15" customHeight="1">
      <c r="A48" s="268" t="s">
        <v>29</v>
      </c>
      <c r="B48" s="268"/>
      <c r="C48" s="268"/>
      <c r="D48" s="268"/>
      <c r="E48" s="268"/>
      <c r="F48" s="268"/>
      <c r="G48" s="268"/>
      <c r="H48" s="268"/>
      <c r="I48" s="268"/>
      <c r="J48" s="268"/>
      <c r="K48" s="268"/>
    </row>
    <row r="49" spans="1:11">
      <c r="A49" s="268"/>
      <c r="B49" s="268"/>
      <c r="C49" s="268"/>
      <c r="D49" s="268"/>
      <c r="E49" s="268"/>
      <c r="F49" s="268"/>
      <c r="G49" s="268"/>
      <c r="H49" s="268"/>
      <c r="I49" s="268"/>
      <c r="J49" s="268"/>
      <c r="K49" s="268"/>
    </row>
  </sheetData>
  <mergeCells count="4">
    <mergeCell ref="I14:J14"/>
    <mergeCell ref="A5:K5"/>
    <mergeCell ref="A6:K6"/>
    <mergeCell ref="A48:K49"/>
  </mergeCells>
  <hyperlinks>
    <hyperlink ref="C33" r:id="rId1" xr:uid="{00000000-0004-0000-0000-000000000000}"/>
  </hyperlinks>
  <pageMargins left="0.7" right="0.7" top="0.75" bottom="0.75" header="0.3" footer="0.3"/>
  <pageSetup scale="9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B98"/>
  <sheetViews>
    <sheetView tabSelected="1" zoomScale="60" zoomScaleNormal="60" workbookViewId="0">
      <pane xSplit="17" ySplit="14" topLeftCell="R15" activePane="bottomRight" state="frozen"/>
      <selection pane="bottomRight" activeCell="P21" sqref="P21"/>
      <selection pane="bottomLeft" activeCell="T16" sqref="T16"/>
      <selection pane="topRight" activeCell="T16" sqref="T16"/>
    </sheetView>
  </sheetViews>
  <sheetFormatPr defaultRowHeight="20.25"/>
  <cols>
    <col min="1" max="1" width="4.5703125" style="3" customWidth="1"/>
    <col min="2" max="2" width="40.7109375" style="3" customWidth="1"/>
    <col min="3" max="12" width="4.7109375" style="3" customWidth="1"/>
    <col min="13" max="13" width="6.5703125" style="5" bestFit="1" customWidth="1"/>
    <col min="14" max="17" width="4.7109375" style="5" customWidth="1"/>
    <col min="18" max="60" width="4.7109375" style="3" customWidth="1"/>
    <col min="61" max="78" width="3.28515625" style="3" customWidth="1"/>
    <col min="79" max="79" width="3" style="3" customWidth="1"/>
    <col min="80" max="80" width="3.28515625" style="3" customWidth="1"/>
    <col min="81" max="271" width="8.7109375" style="3"/>
    <col min="272" max="272" width="20" style="3" customWidth="1"/>
    <col min="273" max="273" width="42.5703125" style="3" customWidth="1"/>
    <col min="274" max="281" width="3.28515625" style="3" customWidth="1"/>
    <col min="282" max="282" width="4.7109375" style="3" customWidth="1"/>
    <col min="283" max="290" width="3.28515625" style="3" customWidth="1"/>
    <col min="291" max="291" width="4.140625" style="3" customWidth="1"/>
    <col min="292" max="324" width="3.28515625" style="3" customWidth="1"/>
    <col min="325" max="325" width="39.7109375" style="3" customWidth="1"/>
    <col min="326" max="527" width="8.7109375" style="3"/>
    <col min="528" max="528" width="20" style="3" customWidth="1"/>
    <col min="529" max="529" width="42.5703125" style="3" customWidth="1"/>
    <col min="530" max="537" width="3.28515625" style="3" customWidth="1"/>
    <col min="538" max="538" width="4.7109375" style="3" customWidth="1"/>
    <col min="539" max="546" width="3.28515625" style="3" customWidth="1"/>
    <col min="547" max="547" width="4.140625" style="3" customWidth="1"/>
    <col min="548" max="580" width="3.28515625" style="3" customWidth="1"/>
    <col min="581" max="581" width="39.7109375" style="3" customWidth="1"/>
    <col min="582" max="783" width="8.7109375" style="3"/>
    <col min="784" max="784" width="20" style="3" customWidth="1"/>
    <col min="785" max="785" width="42.5703125" style="3" customWidth="1"/>
    <col min="786" max="793" width="3.28515625" style="3" customWidth="1"/>
    <col min="794" max="794" width="4.7109375" style="3" customWidth="1"/>
    <col min="795" max="802" width="3.28515625" style="3" customWidth="1"/>
    <col min="803" max="803" width="4.140625" style="3" customWidth="1"/>
    <col min="804" max="836" width="3.28515625" style="3" customWidth="1"/>
    <col min="837" max="837" width="39.7109375" style="3" customWidth="1"/>
    <col min="838" max="1039" width="8.7109375" style="3"/>
    <col min="1040" max="1040" width="20" style="3" customWidth="1"/>
    <col min="1041" max="1041" width="42.5703125" style="3" customWidth="1"/>
    <col min="1042" max="1049" width="3.28515625" style="3" customWidth="1"/>
    <col min="1050" max="1050" width="4.7109375" style="3" customWidth="1"/>
    <col min="1051" max="1058" width="3.28515625" style="3" customWidth="1"/>
    <col min="1059" max="1059" width="4.140625" style="3" customWidth="1"/>
    <col min="1060" max="1092" width="3.28515625" style="3" customWidth="1"/>
    <col min="1093" max="1093" width="39.7109375" style="3" customWidth="1"/>
    <col min="1094" max="1295" width="8.7109375" style="3"/>
    <col min="1296" max="1296" width="20" style="3" customWidth="1"/>
    <col min="1297" max="1297" width="42.5703125" style="3" customWidth="1"/>
    <col min="1298" max="1305" width="3.28515625" style="3" customWidth="1"/>
    <col min="1306" max="1306" width="4.7109375" style="3" customWidth="1"/>
    <col min="1307" max="1314" width="3.28515625" style="3" customWidth="1"/>
    <col min="1315" max="1315" width="4.140625" style="3" customWidth="1"/>
    <col min="1316" max="1348" width="3.28515625" style="3" customWidth="1"/>
    <col min="1349" max="1349" width="39.7109375" style="3" customWidth="1"/>
    <col min="1350" max="1551" width="8.7109375" style="3"/>
    <col min="1552" max="1552" width="20" style="3" customWidth="1"/>
    <col min="1553" max="1553" width="42.5703125" style="3" customWidth="1"/>
    <col min="1554" max="1561" width="3.28515625" style="3" customWidth="1"/>
    <col min="1562" max="1562" width="4.7109375" style="3" customWidth="1"/>
    <col min="1563" max="1570" width="3.28515625" style="3" customWidth="1"/>
    <col min="1571" max="1571" width="4.140625" style="3" customWidth="1"/>
    <col min="1572" max="1604" width="3.28515625" style="3" customWidth="1"/>
    <col min="1605" max="1605" width="39.7109375" style="3" customWidth="1"/>
    <col min="1606" max="1807" width="8.7109375" style="3"/>
    <col min="1808" max="1808" width="20" style="3" customWidth="1"/>
    <col min="1809" max="1809" width="42.5703125" style="3" customWidth="1"/>
    <col min="1810" max="1817" width="3.28515625" style="3" customWidth="1"/>
    <col min="1818" max="1818" width="4.7109375" style="3" customWidth="1"/>
    <col min="1819" max="1826" width="3.28515625" style="3" customWidth="1"/>
    <col min="1827" max="1827" width="4.140625" style="3" customWidth="1"/>
    <col min="1828" max="1860" width="3.28515625" style="3" customWidth="1"/>
    <col min="1861" max="1861" width="39.7109375" style="3" customWidth="1"/>
    <col min="1862" max="2063" width="8.7109375" style="3"/>
    <col min="2064" max="2064" width="20" style="3" customWidth="1"/>
    <col min="2065" max="2065" width="42.5703125" style="3" customWidth="1"/>
    <col min="2066" max="2073" width="3.28515625" style="3" customWidth="1"/>
    <col min="2074" max="2074" width="4.7109375" style="3" customWidth="1"/>
    <col min="2075" max="2082" width="3.28515625" style="3" customWidth="1"/>
    <col min="2083" max="2083" width="4.140625" style="3" customWidth="1"/>
    <col min="2084" max="2116" width="3.28515625" style="3" customWidth="1"/>
    <col min="2117" max="2117" width="39.7109375" style="3" customWidth="1"/>
    <col min="2118" max="2319" width="8.7109375" style="3"/>
    <col min="2320" max="2320" width="20" style="3" customWidth="1"/>
    <col min="2321" max="2321" width="42.5703125" style="3" customWidth="1"/>
    <col min="2322" max="2329" width="3.28515625" style="3" customWidth="1"/>
    <col min="2330" max="2330" width="4.7109375" style="3" customWidth="1"/>
    <col min="2331" max="2338" width="3.28515625" style="3" customWidth="1"/>
    <col min="2339" max="2339" width="4.140625" style="3" customWidth="1"/>
    <col min="2340" max="2372" width="3.28515625" style="3" customWidth="1"/>
    <col min="2373" max="2373" width="39.7109375" style="3" customWidth="1"/>
    <col min="2374" max="2575" width="8.7109375" style="3"/>
    <col min="2576" max="2576" width="20" style="3" customWidth="1"/>
    <col min="2577" max="2577" width="42.5703125" style="3" customWidth="1"/>
    <col min="2578" max="2585" width="3.28515625" style="3" customWidth="1"/>
    <col min="2586" max="2586" width="4.7109375" style="3" customWidth="1"/>
    <col min="2587" max="2594" width="3.28515625" style="3" customWidth="1"/>
    <col min="2595" max="2595" width="4.140625" style="3" customWidth="1"/>
    <col min="2596" max="2628" width="3.28515625" style="3" customWidth="1"/>
    <col min="2629" max="2629" width="39.7109375" style="3" customWidth="1"/>
    <col min="2630" max="2831" width="8.7109375" style="3"/>
    <col min="2832" max="2832" width="20" style="3" customWidth="1"/>
    <col min="2833" max="2833" width="42.5703125" style="3" customWidth="1"/>
    <col min="2834" max="2841" width="3.28515625" style="3" customWidth="1"/>
    <col min="2842" max="2842" width="4.7109375" style="3" customWidth="1"/>
    <col min="2843" max="2850" width="3.28515625" style="3" customWidth="1"/>
    <col min="2851" max="2851" width="4.140625" style="3" customWidth="1"/>
    <col min="2852" max="2884" width="3.28515625" style="3" customWidth="1"/>
    <col min="2885" max="2885" width="39.7109375" style="3" customWidth="1"/>
    <col min="2886" max="3087" width="8.7109375" style="3"/>
    <col min="3088" max="3088" width="20" style="3" customWidth="1"/>
    <col min="3089" max="3089" width="42.5703125" style="3" customWidth="1"/>
    <col min="3090" max="3097" width="3.28515625" style="3" customWidth="1"/>
    <col min="3098" max="3098" width="4.7109375" style="3" customWidth="1"/>
    <col min="3099" max="3106" width="3.28515625" style="3" customWidth="1"/>
    <col min="3107" max="3107" width="4.140625" style="3" customWidth="1"/>
    <col min="3108" max="3140" width="3.28515625" style="3" customWidth="1"/>
    <col min="3141" max="3141" width="39.7109375" style="3" customWidth="1"/>
    <col min="3142" max="3343" width="8.7109375" style="3"/>
    <col min="3344" max="3344" width="20" style="3" customWidth="1"/>
    <col min="3345" max="3345" width="42.5703125" style="3" customWidth="1"/>
    <col min="3346" max="3353" width="3.28515625" style="3" customWidth="1"/>
    <col min="3354" max="3354" width="4.7109375" style="3" customWidth="1"/>
    <col min="3355" max="3362" width="3.28515625" style="3" customWidth="1"/>
    <col min="3363" max="3363" width="4.140625" style="3" customWidth="1"/>
    <col min="3364" max="3396" width="3.28515625" style="3" customWidth="1"/>
    <col min="3397" max="3397" width="39.7109375" style="3" customWidth="1"/>
    <col min="3398" max="3599" width="8.7109375" style="3"/>
    <col min="3600" max="3600" width="20" style="3" customWidth="1"/>
    <col min="3601" max="3601" width="42.5703125" style="3" customWidth="1"/>
    <col min="3602" max="3609" width="3.28515625" style="3" customWidth="1"/>
    <col min="3610" max="3610" width="4.7109375" style="3" customWidth="1"/>
    <col min="3611" max="3618" width="3.28515625" style="3" customWidth="1"/>
    <col min="3619" max="3619" width="4.140625" style="3" customWidth="1"/>
    <col min="3620" max="3652" width="3.28515625" style="3" customWidth="1"/>
    <col min="3653" max="3653" width="39.7109375" style="3" customWidth="1"/>
    <col min="3654" max="3855" width="8.7109375" style="3"/>
    <col min="3856" max="3856" width="20" style="3" customWidth="1"/>
    <col min="3857" max="3857" width="42.5703125" style="3" customWidth="1"/>
    <col min="3858" max="3865" width="3.28515625" style="3" customWidth="1"/>
    <col min="3866" max="3866" width="4.7109375" style="3" customWidth="1"/>
    <col min="3867" max="3874" width="3.28515625" style="3" customWidth="1"/>
    <col min="3875" max="3875" width="4.140625" style="3" customWidth="1"/>
    <col min="3876" max="3908" width="3.28515625" style="3" customWidth="1"/>
    <col min="3909" max="3909" width="39.7109375" style="3" customWidth="1"/>
    <col min="3910" max="4111" width="8.7109375" style="3"/>
    <col min="4112" max="4112" width="20" style="3" customWidth="1"/>
    <col min="4113" max="4113" width="42.5703125" style="3" customWidth="1"/>
    <col min="4114" max="4121" width="3.28515625" style="3" customWidth="1"/>
    <col min="4122" max="4122" width="4.7109375" style="3" customWidth="1"/>
    <col min="4123" max="4130" width="3.28515625" style="3" customWidth="1"/>
    <col min="4131" max="4131" width="4.140625" style="3" customWidth="1"/>
    <col min="4132" max="4164" width="3.28515625" style="3" customWidth="1"/>
    <col min="4165" max="4165" width="39.7109375" style="3" customWidth="1"/>
    <col min="4166" max="4367" width="8.7109375" style="3"/>
    <col min="4368" max="4368" width="20" style="3" customWidth="1"/>
    <col min="4369" max="4369" width="42.5703125" style="3" customWidth="1"/>
    <col min="4370" max="4377" width="3.28515625" style="3" customWidth="1"/>
    <col min="4378" max="4378" width="4.7109375" style="3" customWidth="1"/>
    <col min="4379" max="4386" width="3.28515625" style="3" customWidth="1"/>
    <col min="4387" max="4387" width="4.140625" style="3" customWidth="1"/>
    <col min="4388" max="4420" width="3.28515625" style="3" customWidth="1"/>
    <col min="4421" max="4421" width="39.7109375" style="3" customWidth="1"/>
    <col min="4422" max="4623" width="8.7109375" style="3"/>
    <col min="4624" max="4624" width="20" style="3" customWidth="1"/>
    <col min="4625" max="4625" width="42.5703125" style="3" customWidth="1"/>
    <col min="4626" max="4633" width="3.28515625" style="3" customWidth="1"/>
    <col min="4634" max="4634" width="4.7109375" style="3" customWidth="1"/>
    <col min="4635" max="4642" width="3.28515625" style="3" customWidth="1"/>
    <col min="4643" max="4643" width="4.140625" style="3" customWidth="1"/>
    <col min="4644" max="4676" width="3.28515625" style="3" customWidth="1"/>
    <col min="4677" max="4677" width="39.7109375" style="3" customWidth="1"/>
    <col min="4678" max="4879" width="8.7109375" style="3"/>
    <col min="4880" max="4880" width="20" style="3" customWidth="1"/>
    <col min="4881" max="4881" width="42.5703125" style="3" customWidth="1"/>
    <col min="4882" max="4889" width="3.28515625" style="3" customWidth="1"/>
    <col min="4890" max="4890" width="4.7109375" style="3" customWidth="1"/>
    <col min="4891" max="4898" width="3.28515625" style="3" customWidth="1"/>
    <col min="4899" max="4899" width="4.140625" style="3" customWidth="1"/>
    <col min="4900" max="4932" width="3.28515625" style="3" customWidth="1"/>
    <col min="4933" max="4933" width="39.7109375" style="3" customWidth="1"/>
    <col min="4934" max="5135" width="8.7109375" style="3"/>
    <col min="5136" max="5136" width="20" style="3" customWidth="1"/>
    <col min="5137" max="5137" width="42.5703125" style="3" customWidth="1"/>
    <col min="5138" max="5145" width="3.28515625" style="3" customWidth="1"/>
    <col min="5146" max="5146" width="4.7109375" style="3" customWidth="1"/>
    <col min="5147" max="5154" width="3.28515625" style="3" customWidth="1"/>
    <col min="5155" max="5155" width="4.140625" style="3" customWidth="1"/>
    <col min="5156" max="5188" width="3.28515625" style="3" customWidth="1"/>
    <col min="5189" max="5189" width="39.7109375" style="3" customWidth="1"/>
    <col min="5190" max="5391" width="8.7109375" style="3"/>
    <col min="5392" max="5392" width="20" style="3" customWidth="1"/>
    <col min="5393" max="5393" width="42.5703125" style="3" customWidth="1"/>
    <col min="5394" max="5401" width="3.28515625" style="3" customWidth="1"/>
    <col min="5402" max="5402" width="4.7109375" style="3" customWidth="1"/>
    <col min="5403" max="5410" width="3.28515625" style="3" customWidth="1"/>
    <col min="5411" max="5411" width="4.140625" style="3" customWidth="1"/>
    <col min="5412" max="5444" width="3.28515625" style="3" customWidth="1"/>
    <col min="5445" max="5445" width="39.7109375" style="3" customWidth="1"/>
    <col min="5446" max="5647" width="8.7109375" style="3"/>
    <col min="5648" max="5648" width="20" style="3" customWidth="1"/>
    <col min="5649" max="5649" width="42.5703125" style="3" customWidth="1"/>
    <col min="5650" max="5657" width="3.28515625" style="3" customWidth="1"/>
    <col min="5658" max="5658" width="4.7109375" style="3" customWidth="1"/>
    <col min="5659" max="5666" width="3.28515625" style="3" customWidth="1"/>
    <col min="5667" max="5667" width="4.140625" style="3" customWidth="1"/>
    <col min="5668" max="5700" width="3.28515625" style="3" customWidth="1"/>
    <col min="5701" max="5701" width="39.7109375" style="3" customWidth="1"/>
    <col min="5702" max="5903" width="8.7109375" style="3"/>
    <col min="5904" max="5904" width="20" style="3" customWidth="1"/>
    <col min="5905" max="5905" width="42.5703125" style="3" customWidth="1"/>
    <col min="5906" max="5913" width="3.28515625" style="3" customWidth="1"/>
    <col min="5914" max="5914" width="4.7109375" style="3" customWidth="1"/>
    <col min="5915" max="5922" width="3.28515625" style="3" customWidth="1"/>
    <col min="5923" max="5923" width="4.140625" style="3" customWidth="1"/>
    <col min="5924" max="5956" width="3.28515625" style="3" customWidth="1"/>
    <col min="5957" max="5957" width="39.7109375" style="3" customWidth="1"/>
    <col min="5958" max="6159" width="8.7109375" style="3"/>
    <col min="6160" max="6160" width="20" style="3" customWidth="1"/>
    <col min="6161" max="6161" width="42.5703125" style="3" customWidth="1"/>
    <col min="6162" max="6169" width="3.28515625" style="3" customWidth="1"/>
    <col min="6170" max="6170" width="4.7109375" style="3" customWidth="1"/>
    <col min="6171" max="6178" width="3.28515625" style="3" customWidth="1"/>
    <col min="6179" max="6179" width="4.140625" style="3" customWidth="1"/>
    <col min="6180" max="6212" width="3.28515625" style="3" customWidth="1"/>
    <col min="6213" max="6213" width="39.7109375" style="3" customWidth="1"/>
    <col min="6214" max="6415" width="8.7109375" style="3"/>
    <col min="6416" max="6416" width="20" style="3" customWidth="1"/>
    <col min="6417" max="6417" width="42.5703125" style="3" customWidth="1"/>
    <col min="6418" max="6425" width="3.28515625" style="3" customWidth="1"/>
    <col min="6426" max="6426" width="4.7109375" style="3" customWidth="1"/>
    <col min="6427" max="6434" width="3.28515625" style="3" customWidth="1"/>
    <col min="6435" max="6435" width="4.140625" style="3" customWidth="1"/>
    <col min="6436" max="6468" width="3.28515625" style="3" customWidth="1"/>
    <col min="6469" max="6469" width="39.7109375" style="3" customWidth="1"/>
    <col min="6470" max="6671" width="8.7109375" style="3"/>
    <col min="6672" max="6672" width="20" style="3" customWidth="1"/>
    <col min="6673" max="6673" width="42.5703125" style="3" customWidth="1"/>
    <col min="6674" max="6681" width="3.28515625" style="3" customWidth="1"/>
    <col min="6682" max="6682" width="4.7109375" style="3" customWidth="1"/>
    <col min="6683" max="6690" width="3.28515625" style="3" customWidth="1"/>
    <col min="6691" max="6691" width="4.140625" style="3" customWidth="1"/>
    <col min="6692" max="6724" width="3.28515625" style="3" customWidth="1"/>
    <col min="6725" max="6725" width="39.7109375" style="3" customWidth="1"/>
    <col min="6726" max="6927" width="8.7109375" style="3"/>
    <col min="6928" max="6928" width="20" style="3" customWidth="1"/>
    <col min="6929" max="6929" width="42.5703125" style="3" customWidth="1"/>
    <col min="6930" max="6937" width="3.28515625" style="3" customWidth="1"/>
    <col min="6938" max="6938" width="4.7109375" style="3" customWidth="1"/>
    <col min="6939" max="6946" width="3.28515625" style="3" customWidth="1"/>
    <col min="6947" max="6947" width="4.140625" style="3" customWidth="1"/>
    <col min="6948" max="6980" width="3.28515625" style="3" customWidth="1"/>
    <col min="6981" max="6981" width="39.7109375" style="3" customWidth="1"/>
    <col min="6982" max="7183" width="8.7109375" style="3"/>
    <col min="7184" max="7184" width="20" style="3" customWidth="1"/>
    <col min="7185" max="7185" width="42.5703125" style="3" customWidth="1"/>
    <col min="7186" max="7193" width="3.28515625" style="3" customWidth="1"/>
    <col min="7194" max="7194" width="4.7109375" style="3" customWidth="1"/>
    <col min="7195" max="7202" width="3.28515625" style="3" customWidth="1"/>
    <col min="7203" max="7203" width="4.140625" style="3" customWidth="1"/>
    <col min="7204" max="7236" width="3.28515625" style="3" customWidth="1"/>
    <col min="7237" max="7237" width="39.7109375" style="3" customWidth="1"/>
    <col min="7238" max="7439" width="8.7109375" style="3"/>
    <col min="7440" max="7440" width="20" style="3" customWidth="1"/>
    <col min="7441" max="7441" width="42.5703125" style="3" customWidth="1"/>
    <col min="7442" max="7449" width="3.28515625" style="3" customWidth="1"/>
    <col min="7450" max="7450" width="4.7109375" style="3" customWidth="1"/>
    <col min="7451" max="7458" width="3.28515625" style="3" customWidth="1"/>
    <col min="7459" max="7459" width="4.140625" style="3" customWidth="1"/>
    <col min="7460" max="7492" width="3.28515625" style="3" customWidth="1"/>
    <col min="7493" max="7493" width="39.7109375" style="3" customWidth="1"/>
    <col min="7494" max="7695" width="8.7109375" style="3"/>
    <col min="7696" max="7696" width="20" style="3" customWidth="1"/>
    <col min="7697" max="7697" width="42.5703125" style="3" customWidth="1"/>
    <col min="7698" max="7705" width="3.28515625" style="3" customWidth="1"/>
    <col min="7706" max="7706" width="4.7109375" style="3" customWidth="1"/>
    <col min="7707" max="7714" width="3.28515625" style="3" customWidth="1"/>
    <col min="7715" max="7715" width="4.140625" style="3" customWidth="1"/>
    <col min="7716" max="7748" width="3.28515625" style="3" customWidth="1"/>
    <col min="7749" max="7749" width="39.7109375" style="3" customWidth="1"/>
    <col min="7750" max="7951" width="8.7109375" style="3"/>
    <col min="7952" max="7952" width="20" style="3" customWidth="1"/>
    <col min="7953" max="7953" width="42.5703125" style="3" customWidth="1"/>
    <col min="7954" max="7961" width="3.28515625" style="3" customWidth="1"/>
    <col min="7962" max="7962" width="4.7109375" style="3" customWidth="1"/>
    <col min="7963" max="7970" width="3.28515625" style="3" customWidth="1"/>
    <col min="7971" max="7971" width="4.140625" style="3" customWidth="1"/>
    <col min="7972" max="8004" width="3.28515625" style="3" customWidth="1"/>
    <col min="8005" max="8005" width="39.7109375" style="3" customWidth="1"/>
    <col min="8006" max="8207" width="8.7109375" style="3"/>
    <col min="8208" max="8208" width="20" style="3" customWidth="1"/>
    <col min="8209" max="8209" width="42.5703125" style="3" customWidth="1"/>
    <col min="8210" max="8217" width="3.28515625" style="3" customWidth="1"/>
    <col min="8218" max="8218" width="4.7109375" style="3" customWidth="1"/>
    <col min="8219" max="8226" width="3.28515625" style="3" customWidth="1"/>
    <col min="8227" max="8227" width="4.140625" style="3" customWidth="1"/>
    <col min="8228" max="8260" width="3.28515625" style="3" customWidth="1"/>
    <col min="8261" max="8261" width="39.7109375" style="3" customWidth="1"/>
    <col min="8262" max="8463" width="8.7109375" style="3"/>
    <col min="8464" max="8464" width="20" style="3" customWidth="1"/>
    <col min="8465" max="8465" width="42.5703125" style="3" customWidth="1"/>
    <col min="8466" max="8473" width="3.28515625" style="3" customWidth="1"/>
    <col min="8474" max="8474" width="4.7109375" style="3" customWidth="1"/>
    <col min="8475" max="8482" width="3.28515625" style="3" customWidth="1"/>
    <col min="8483" max="8483" width="4.140625" style="3" customWidth="1"/>
    <col min="8484" max="8516" width="3.28515625" style="3" customWidth="1"/>
    <col min="8517" max="8517" width="39.7109375" style="3" customWidth="1"/>
    <col min="8518" max="8719" width="8.7109375" style="3"/>
    <col min="8720" max="8720" width="20" style="3" customWidth="1"/>
    <col min="8721" max="8721" width="42.5703125" style="3" customWidth="1"/>
    <col min="8722" max="8729" width="3.28515625" style="3" customWidth="1"/>
    <col min="8730" max="8730" width="4.7109375" style="3" customWidth="1"/>
    <col min="8731" max="8738" width="3.28515625" style="3" customWidth="1"/>
    <col min="8739" max="8739" width="4.140625" style="3" customWidth="1"/>
    <col min="8740" max="8772" width="3.28515625" style="3" customWidth="1"/>
    <col min="8773" max="8773" width="39.7109375" style="3" customWidth="1"/>
    <col min="8774" max="8975" width="8.7109375" style="3"/>
    <col min="8976" max="8976" width="20" style="3" customWidth="1"/>
    <col min="8977" max="8977" width="42.5703125" style="3" customWidth="1"/>
    <col min="8978" max="8985" width="3.28515625" style="3" customWidth="1"/>
    <col min="8986" max="8986" width="4.7109375" style="3" customWidth="1"/>
    <col min="8987" max="8994" width="3.28515625" style="3" customWidth="1"/>
    <col min="8995" max="8995" width="4.140625" style="3" customWidth="1"/>
    <col min="8996" max="9028" width="3.28515625" style="3" customWidth="1"/>
    <col min="9029" max="9029" width="39.7109375" style="3" customWidth="1"/>
    <col min="9030" max="9231" width="8.7109375" style="3"/>
    <col min="9232" max="9232" width="20" style="3" customWidth="1"/>
    <col min="9233" max="9233" width="42.5703125" style="3" customWidth="1"/>
    <col min="9234" max="9241" width="3.28515625" style="3" customWidth="1"/>
    <col min="9242" max="9242" width="4.7109375" style="3" customWidth="1"/>
    <col min="9243" max="9250" width="3.28515625" style="3" customWidth="1"/>
    <col min="9251" max="9251" width="4.140625" style="3" customWidth="1"/>
    <col min="9252" max="9284" width="3.28515625" style="3" customWidth="1"/>
    <col min="9285" max="9285" width="39.7109375" style="3" customWidth="1"/>
    <col min="9286" max="9487" width="8.7109375" style="3"/>
    <col min="9488" max="9488" width="20" style="3" customWidth="1"/>
    <col min="9489" max="9489" width="42.5703125" style="3" customWidth="1"/>
    <col min="9490" max="9497" width="3.28515625" style="3" customWidth="1"/>
    <col min="9498" max="9498" width="4.7109375" style="3" customWidth="1"/>
    <col min="9499" max="9506" width="3.28515625" style="3" customWidth="1"/>
    <col min="9507" max="9507" width="4.140625" style="3" customWidth="1"/>
    <col min="9508" max="9540" width="3.28515625" style="3" customWidth="1"/>
    <col min="9541" max="9541" width="39.7109375" style="3" customWidth="1"/>
    <col min="9542" max="9743" width="8.7109375" style="3"/>
    <col min="9744" max="9744" width="20" style="3" customWidth="1"/>
    <col min="9745" max="9745" width="42.5703125" style="3" customWidth="1"/>
    <col min="9746" max="9753" width="3.28515625" style="3" customWidth="1"/>
    <col min="9754" max="9754" width="4.7109375" style="3" customWidth="1"/>
    <col min="9755" max="9762" width="3.28515625" style="3" customWidth="1"/>
    <col min="9763" max="9763" width="4.140625" style="3" customWidth="1"/>
    <col min="9764" max="9796" width="3.28515625" style="3" customWidth="1"/>
    <col min="9797" max="9797" width="39.7109375" style="3" customWidth="1"/>
    <col min="9798" max="9999" width="8.7109375" style="3"/>
    <col min="10000" max="10000" width="20" style="3" customWidth="1"/>
    <col min="10001" max="10001" width="42.5703125" style="3" customWidth="1"/>
    <col min="10002" max="10009" width="3.28515625" style="3" customWidth="1"/>
    <col min="10010" max="10010" width="4.7109375" style="3" customWidth="1"/>
    <col min="10011" max="10018" width="3.28515625" style="3" customWidth="1"/>
    <col min="10019" max="10019" width="4.140625" style="3" customWidth="1"/>
    <col min="10020" max="10052" width="3.28515625" style="3" customWidth="1"/>
    <col min="10053" max="10053" width="39.7109375" style="3" customWidth="1"/>
    <col min="10054" max="10255" width="8.7109375" style="3"/>
    <col min="10256" max="10256" width="20" style="3" customWidth="1"/>
    <col min="10257" max="10257" width="42.5703125" style="3" customWidth="1"/>
    <col min="10258" max="10265" width="3.28515625" style="3" customWidth="1"/>
    <col min="10266" max="10266" width="4.7109375" style="3" customWidth="1"/>
    <col min="10267" max="10274" width="3.28515625" style="3" customWidth="1"/>
    <col min="10275" max="10275" width="4.140625" style="3" customWidth="1"/>
    <col min="10276" max="10308" width="3.28515625" style="3" customWidth="1"/>
    <col min="10309" max="10309" width="39.7109375" style="3" customWidth="1"/>
    <col min="10310" max="10511" width="8.7109375" style="3"/>
    <col min="10512" max="10512" width="20" style="3" customWidth="1"/>
    <col min="10513" max="10513" width="42.5703125" style="3" customWidth="1"/>
    <col min="10514" max="10521" width="3.28515625" style="3" customWidth="1"/>
    <col min="10522" max="10522" width="4.7109375" style="3" customWidth="1"/>
    <col min="10523" max="10530" width="3.28515625" style="3" customWidth="1"/>
    <col min="10531" max="10531" width="4.140625" style="3" customWidth="1"/>
    <col min="10532" max="10564" width="3.28515625" style="3" customWidth="1"/>
    <col min="10565" max="10565" width="39.7109375" style="3" customWidth="1"/>
    <col min="10566" max="10767" width="8.7109375" style="3"/>
    <col min="10768" max="10768" width="20" style="3" customWidth="1"/>
    <col min="10769" max="10769" width="42.5703125" style="3" customWidth="1"/>
    <col min="10770" max="10777" width="3.28515625" style="3" customWidth="1"/>
    <col min="10778" max="10778" width="4.7109375" style="3" customWidth="1"/>
    <col min="10779" max="10786" width="3.28515625" style="3" customWidth="1"/>
    <col min="10787" max="10787" width="4.140625" style="3" customWidth="1"/>
    <col min="10788" max="10820" width="3.28515625" style="3" customWidth="1"/>
    <col min="10821" max="10821" width="39.7109375" style="3" customWidth="1"/>
    <col min="10822" max="11023" width="8.7109375" style="3"/>
    <col min="11024" max="11024" width="20" style="3" customWidth="1"/>
    <col min="11025" max="11025" width="42.5703125" style="3" customWidth="1"/>
    <col min="11026" max="11033" width="3.28515625" style="3" customWidth="1"/>
    <col min="11034" max="11034" width="4.7109375" style="3" customWidth="1"/>
    <col min="11035" max="11042" width="3.28515625" style="3" customWidth="1"/>
    <col min="11043" max="11043" width="4.140625" style="3" customWidth="1"/>
    <col min="11044" max="11076" width="3.28515625" style="3" customWidth="1"/>
    <col min="11077" max="11077" width="39.7109375" style="3" customWidth="1"/>
    <col min="11078" max="11279" width="8.7109375" style="3"/>
    <col min="11280" max="11280" width="20" style="3" customWidth="1"/>
    <col min="11281" max="11281" width="42.5703125" style="3" customWidth="1"/>
    <col min="11282" max="11289" width="3.28515625" style="3" customWidth="1"/>
    <col min="11290" max="11290" width="4.7109375" style="3" customWidth="1"/>
    <col min="11291" max="11298" width="3.28515625" style="3" customWidth="1"/>
    <col min="11299" max="11299" width="4.140625" style="3" customWidth="1"/>
    <col min="11300" max="11332" width="3.28515625" style="3" customWidth="1"/>
    <col min="11333" max="11333" width="39.7109375" style="3" customWidth="1"/>
    <col min="11334" max="11535" width="8.7109375" style="3"/>
    <col min="11536" max="11536" width="20" style="3" customWidth="1"/>
    <col min="11537" max="11537" width="42.5703125" style="3" customWidth="1"/>
    <col min="11538" max="11545" width="3.28515625" style="3" customWidth="1"/>
    <col min="11546" max="11546" width="4.7109375" style="3" customWidth="1"/>
    <col min="11547" max="11554" width="3.28515625" style="3" customWidth="1"/>
    <col min="11555" max="11555" width="4.140625" style="3" customWidth="1"/>
    <col min="11556" max="11588" width="3.28515625" style="3" customWidth="1"/>
    <col min="11589" max="11589" width="39.7109375" style="3" customWidth="1"/>
    <col min="11590" max="11791" width="8.7109375" style="3"/>
    <col min="11792" max="11792" width="20" style="3" customWidth="1"/>
    <col min="11793" max="11793" width="42.5703125" style="3" customWidth="1"/>
    <col min="11794" max="11801" width="3.28515625" style="3" customWidth="1"/>
    <col min="11802" max="11802" width="4.7109375" style="3" customWidth="1"/>
    <col min="11803" max="11810" width="3.28515625" style="3" customWidth="1"/>
    <col min="11811" max="11811" width="4.140625" style="3" customWidth="1"/>
    <col min="11812" max="11844" width="3.28515625" style="3" customWidth="1"/>
    <col min="11845" max="11845" width="39.7109375" style="3" customWidth="1"/>
    <col min="11846" max="12047" width="8.7109375" style="3"/>
    <col min="12048" max="12048" width="20" style="3" customWidth="1"/>
    <col min="12049" max="12049" width="42.5703125" style="3" customWidth="1"/>
    <col min="12050" max="12057" width="3.28515625" style="3" customWidth="1"/>
    <col min="12058" max="12058" width="4.7109375" style="3" customWidth="1"/>
    <col min="12059" max="12066" width="3.28515625" style="3" customWidth="1"/>
    <col min="12067" max="12067" width="4.140625" style="3" customWidth="1"/>
    <col min="12068" max="12100" width="3.28515625" style="3" customWidth="1"/>
    <col min="12101" max="12101" width="39.7109375" style="3" customWidth="1"/>
    <col min="12102" max="12303" width="8.7109375" style="3"/>
    <col min="12304" max="12304" width="20" style="3" customWidth="1"/>
    <col min="12305" max="12305" width="42.5703125" style="3" customWidth="1"/>
    <col min="12306" max="12313" width="3.28515625" style="3" customWidth="1"/>
    <col min="12314" max="12314" width="4.7109375" style="3" customWidth="1"/>
    <col min="12315" max="12322" width="3.28515625" style="3" customWidth="1"/>
    <col min="12323" max="12323" width="4.140625" style="3" customWidth="1"/>
    <col min="12324" max="12356" width="3.28515625" style="3" customWidth="1"/>
    <col min="12357" max="12357" width="39.7109375" style="3" customWidth="1"/>
    <col min="12358" max="12559" width="8.7109375" style="3"/>
    <col min="12560" max="12560" width="20" style="3" customWidth="1"/>
    <col min="12561" max="12561" width="42.5703125" style="3" customWidth="1"/>
    <col min="12562" max="12569" width="3.28515625" style="3" customWidth="1"/>
    <col min="12570" max="12570" width="4.7109375" style="3" customWidth="1"/>
    <col min="12571" max="12578" width="3.28515625" style="3" customWidth="1"/>
    <col min="12579" max="12579" width="4.140625" style="3" customWidth="1"/>
    <col min="12580" max="12612" width="3.28515625" style="3" customWidth="1"/>
    <col min="12613" max="12613" width="39.7109375" style="3" customWidth="1"/>
    <col min="12614" max="12815" width="8.7109375" style="3"/>
    <col min="12816" max="12816" width="20" style="3" customWidth="1"/>
    <col min="12817" max="12817" width="42.5703125" style="3" customWidth="1"/>
    <col min="12818" max="12825" width="3.28515625" style="3" customWidth="1"/>
    <col min="12826" max="12826" width="4.7109375" style="3" customWidth="1"/>
    <col min="12827" max="12834" width="3.28515625" style="3" customWidth="1"/>
    <col min="12835" max="12835" width="4.140625" style="3" customWidth="1"/>
    <col min="12836" max="12868" width="3.28515625" style="3" customWidth="1"/>
    <col min="12869" max="12869" width="39.7109375" style="3" customWidth="1"/>
    <col min="12870" max="13071" width="8.7109375" style="3"/>
    <col min="13072" max="13072" width="20" style="3" customWidth="1"/>
    <col min="13073" max="13073" width="42.5703125" style="3" customWidth="1"/>
    <col min="13074" max="13081" width="3.28515625" style="3" customWidth="1"/>
    <col min="13082" max="13082" width="4.7109375" style="3" customWidth="1"/>
    <col min="13083" max="13090" width="3.28515625" style="3" customWidth="1"/>
    <col min="13091" max="13091" width="4.140625" style="3" customWidth="1"/>
    <col min="13092" max="13124" width="3.28515625" style="3" customWidth="1"/>
    <col min="13125" max="13125" width="39.7109375" style="3" customWidth="1"/>
    <col min="13126" max="13327" width="8.7109375" style="3"/>
    <col min="13328" max="13328" width="20" style="3" customWidth="1"/>
    <col min="13329" max="13329" width="42.5703125" style="3" customWidth="1"/>
    <col min="13330" max="13337" width="3.28515625" style="3" customWidth="1"/>
    <col min="13338" max="13338" width="4.7109375" style="3" customWidth="1"/>
    <col min="13339" max="13346" width="3.28515625" style="3" customWidth="1"/>
    <col min="13347" max="13347" width="4.140625" style="3" customWidth="1"/>
    <col min="13348" max="13380" width="3.28515625" style="3" customWidth="1"/>
    <col min="13381" max="13381" width="39.7109375" style="3" customWidth="1"/>
    <col min="13382" max="13583" width="8.7109375" style="3"/>
    <col min="13584" max="13584" width="20" style="3" customWidth="1"/>
    <col min="13585" max="13585" width="42.5703125" style="3" customWidth="1"/>
    <col min="13586" max="13593" width="3.28515625" style="3" customWidth="1"/>
    <col min="13594" max="13594" width="4.7109375" style="3" customWidth="1"/>
    <col min="13595" max="13602" width="3.28515625" style="3" customWidth="1"/>
    <col min="13603" max="13603" width="4.140625" style="3" customWidth="1"/>
    <col min="13604" max="13636" width="3.28515625" style="3" customWidth="1"/>
    <col min="13637" max="13637" width="39.7109375" style="3" customWidth="1"/>
    <col min="13638" max="13839" width="8.7109375" style="3"/>
    <col min="13840" max="13840" width="20" style="3" customWidth="1"/>
    <col min="13841" max="13841" width="42.5703125" style="3" customWidth="1"/>
    <col min="13842" max="13849" width="3.28515625" style="3" customWidth="1"/>
    <col min="13850" max="13850" width="4.7109375" style="3" customWidth="1"/>
    <col min="13851" max="13858" width="3.28515625" style="3" customWidth="1"/>
    <col min="13859" max="13859" width="4.140625" style="3" customWidth="1"/>
    <col min="13860" max="13892" width="3.28515625" style="3" customWidth="1"/>
    <col min="13893" max="13893" width="39.7109375" style="3" customWidth="1"/>
    <col min="13894" max="14095" width="8.7109375" style="3"/>
    <col min="14096" max="14096" width="20" style="3" customWidth="1"/>
    <col min="14097" max="14097" width="42.5703125" style="3" customWidth="1"/>
    <col min="14098" max="14105" width="3.28515625" style="3" customWidth="1"/>
    <col min="14106" max="14106" width="4.7109375" style="3" customWidth="1"/>
    <col min="14107" max="14114" width="3.28515625" style="3" customWidth="1"/>
    <col min="14115" max="14115" width="4.140625" style="3" customWidth="1"/>
    <col min="14116" max="14148" width="3.28515625" style="3" customWidth="1"/>
    <col min="14149" max="14149" width="39.7109375" style="3" customWidth="1"/>
    <col min="14150" max="14351" width="8.7109375" style="3"/>
    <col min="14352" max="14352" width="20" style="3" customWidth="1"/>
    <col min="14353" max="14353" width="42.5703125" style="3" customWidth="1"/>
    <col min="14354" max="14361" width="3.28515625" style="3" customWidth="1"/>
    <col min="14362" max="14362" width="4.7109375" style="3" customWidth="1"/>
    <col min="14363" max="14370" width="3.28515625" style="3" customWidth="1"/>
    <col min="14371" max="14371" width="4.140625" style="3" customWidth="1"/>
    <col min="14372" max="14404" width="3.28515625" style="3" customWidth="1"/>
    <col min="14405" max="14405" width="39.7109375" style="3" customWidth="1"/>
    <col min="14406" max="14607" width="8.7109375" style="3"/>
    <col min="14608" max="14608" width="20" style="3" customWidth="1"/>
    <col min="14609" max="14609" width="42.5703125" style="3" customWidth="1"/>
    <col min="14610" max="14617" width="3.28515625" style="3" customWidth="1"/>
    <col min="14618" max="14618" width="4.7109375" style="3" customWidth="1"/>
    <col min="14619" max="14626" width="3.28515625" style="3" customWidth="1"/>
    <col min="14627" max="14627" width="4.140625" style="3" customWidth="1"/>
    <col min="14628" max="14660" width="3.28515625" style="3" customWidth="1"/>
    <col min="14661" max="14661" width="39.7109375" style="3" customWidth="1"/>
    <col min="14662" max="14863" width="8.7109375" style="3"/>
    <col min="14864" max="14864" width="20" style="3" customWidth="1"/>
    <col min="14865" max="14865" width="42.5703125" style="3" customWidth="1"/>
    <col min="14866" max="14873" width="3.28515625" style="3" customWidth="1"/>
    <col min="14874" max="14874" width="4.7109375" style="3" customWidth="1"/>
    <col min="14875" max="14882" width="3.28515625" style="3" customWidth="1"/>
    <col min="14883" max="14883" width="4.140625" style="3" customWidth="1"/>
    <col min="14884" max="14916" width="3.28515625" style="3" customWidth="1"/>
    <col min="14917" max="14917" width="39.7109375" style="3" customWidth="1"/>
    <col min="14918" max="15119" width="8.7109375" style="3"/>
    <col min="15120" max="15120" width="20" style="3" customWidth="1"/>
    <col min="15121" max="15121" width="42.5703125" style="3" customWidth="1"/>
    <col min="15122" max="15129" width="3.28515625" style="3" customWidth="1"/>
    <col min="15130" max="15130" width="4.7109375" style="3" customWidth="1"/>
    <col min="15131" max="15138" width="3.28515625" style="3" customWidth="1"/>
    <col min="15139" max="15139" width="4.140625" style="3" customWidth="1"/>
    <col min="15140" max="15172" width="3.28515625" style="3" customWidth="1"/>
    <col min="15173" max="15173" width="39.7109375" style="3" customWidth="1"/>
    <col min="15174" max="15375" width="8.7109375" style="3"/>
    <col min="15376" max="15376" width="20" style="3" customWidth="1"/>
    <col min="15377" max="15377" width="42.5703125" style="3" customWidth="1"/>
    <col min="15378" max="15385" width="3.28515625" style="3" customWidth="1"/>
    <col min="15386" max="15386" width="4.7109375" style="3" customWidth="1"/>
    <col min="15387" max="15394" width="3.28515625" style="3" customWidth="1"/>
    <col min="15395" max="15395" width="4.140625" style="3" customWidth="1"/>
    <col min="15396" max="15428" width="3.28515625" style="3" customWidth="1"/>
    <col min="15429" max="15429" width="39.7109375" style="3" customWidth="1"/>
    <col min="15430" max="15631" width="8.7109375" style="3"/>
    <col min="15632" max="15632" width="20" style="3" customWidth="1"/>
    <col min="15633" max="15633" width="42.5703125" style="3" customWidth="1"/>
    <col min="15634" max="15641" width="3.28515625" style="3" customWidth="1"/>
    <col min="15642" max="15642" width="4.7109375" style="3" customWidth="1"/>
    <col min="15643" max="15650" width="3.28515625" style="3" customWidth="1"/>
    <col min="15651" max="15651" width="4.140625" style="3" customWidth="1"/>
    <col min="15652" max="15684" width="3.28515625" style="3" customWidth="1"/>
    <col min="15685" max="15685" width="39.7109375" style="3" customWidth="1"/>
    <col min="15686" max="15887" width="8.7109375" style="3"/>
    <col min="15888" max="15888" width="20" style="3" customWidth="1"/>
    <col min="15889" max="15889" width="42.5703125" style="3" customWidth="1"/>
    <col min="15890" max="15897" width="3.28515625" style="3" customWidth="1"/>
    <col min="15898" max="15898" width="4.7109375" style="3" customWidth="1"/>
    <col min="15899" max="15906" width="3.28515625" style="3" customWidth="1"/>
    <col min="15907" max="15907" width="4.140625" style="3" customWidth="1"/>
    <col min="15908" max="15940" width="3.28515625" style="3" customWidth="1"/>
    <col min="15941" max="15941" width="39.7109375" style="3" customWidth="1"/>
    <col min="15942" max="16143" width="8.7109375" style="3"/>
    <col min="16144" max="16144" width="20" style="3" customWidth="1"/>
    <col min="16145" max="16145" width="42.5703125" style="3" customWidth="1"/>
    <col min="16146" max="16153" width="3.28515625" style="3" customWidth="1"/>
    <col min="16154" max="16154" width="4.7109375" style="3" customWidth="1"/>
    <col min="16155" max="16162" width="3.28515625" style="3" customWidth="1"/>
    <col min="16163" max="16163" width="4.140625" style="3" customWidth="1"/>
    <col min="16164" max="16196" width="3.28515625" style="3" customWidth="1"/>
    <col min="16197" max="16197" width="39.7109375" style="3" customWidth="1"/>
    <col min="16198" max="16384" width="8.7109375" style="3"/>
  </cols>
  <sheetData>
    <row r="1" spans="1:80" ht="22.9" customHeight="1" thickBo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  <c r="N1" s="18"/>
      <c r="O1" s="18"/>
      <c r="P1" s="18"/>
      <c r="Q1" s="18"/>
      <c r="R1" s="8" t="s">
        <v>30</v>
      </c>
      <c r="S1" s="8"/>
      <c r="T1" s="8"/>
      <c r="U1" s="17"/>
      <c r="V1" s="8"/>
      <c r="W1" s="8"/>
      <c r="X1" s="8"/>
      <c r="Y1" s="8"/>
      <c r="Z1" s="8"/>
      <c r="AA1" s="8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34" t="s">
        <v>31</v>
      </c>
      <c r="BH1" s="34"/>
    </row>
    <row r="2" spans="1:80" ht="27" customHeight="1" thickBo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  <c r="N2" s="18"/>
      <c r="O2" s="18"/>
      <c r="P2" s="18"/>
      <c r="Q2" s="18"/>
      <c r="R2" s="21" t="s">
        <v>32</v>
      </c>
      <c r="S2" s="22"/>
      <c r="T2" s="22"/>
      <c r="U2" s="23"/>
      <c r="V2" s="22"/>
      <c r="W2" s="22"/>
      <c r="X2" s="22"/>
      <c r="Y2" s="22"/>
      <c r="Z2" s="22"/>
      <c r="AA2" s="22"/>
      <c r="AB2" s="24"/>
      <c r="AC2" s="8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</row>
    <row r="3" spans="1:80" ht="21" thickBot="1">
      <c r="A3" s="17"/>
      <c r="B3" s="17"/>
      <c r="C3" s="17"/>
      <c r="D3" s="8"/>
      <c r="E3" s="8"/>
      <c r="F3" s="8"/>
      <c r="G3" s="8"/>
      <c r="H3" s="8"/>
      <c r="I3" s="8"/>
      <c r="J3" s="8"/>
      <c r="K3" s="8"/>
      <c r="L3" s="8"/>
      <c r="M3" s="19"/>
      <c r="N3" s="19"/>
      <c r="O3" s="19"/>
      <c r="P3" s="19"/>
      <c r="Q3" s="19"/>
      <c r="R3" s="8" t="s">
        <v>33</v>
      </c>
      <c r="S3" s="8"/>
      <c r="T3" s="8"/>
      <c r="U3" s="17"/>
      <c r="V3" s="8"/>
      <c r="W3" s="8"/>
      <c r="X3" s="8"/>
      <c r="Y3" s="8"/>
      <c r="Z3" s="8"/>
      <c r="AA3" s="8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O3" s="17"/>
      <c r="AP3" s="8" t="s">
        <v>34</v>
      </c>
      <c r="AQ3" s="17"/>
      <c r="AR3" s="17"/>
      <c r="AS3" s="17"/>
      <c r="AT3" s="17"/>
      <c r="AU3" s="17"/>
      <c r="AV3" s="17" t="s">
        <v>35</v>
      </c>
      <c r="AW3" s="20"/>
      <c r="AX3" s="17"/>
      <c r="AY3" s="17" t="s">
        <v>36</v>
      </c>
      <c r="AZ3" s="17"/>
      <c r="BA3" s="17"/>
      <c r="BB3" s="17"/>
      <c r="BC3" s="17"/>
      <c r="BD3" s="17"/>
      <c r="BE3" s="17"/>
      <c r="BF3" s="17"/>
      <c r="BG3" s="17"/>
      <c r="BH3" s="17"/>
      <c r="BI3" s="1"/>
      <c r="BJ3" s="1"/>
      <c r="BK3" s="1"/>
      <c r="BN3" s="6"/>
    </row>
    <row r="4" spans="1:80" ht="27" customHeight="1" thickBot="1">
      <c r="A4" s="17"/>
      <c r="B4" s="17"/>
      <c r="C4" s="17"/>
      <c r="D4" s="8"/>
      <c r="E4" s="8"/>
      <c r="F4" s="8"/>
      <c r="G4" s="8"/>
      <c r="H4" s="8"/>
      <c r="I4" s="8"/>
      <c r="J4" s="8"/>
      <c r="K4" s="8"/>
      <c r="L4" s="8"/>
      <c r="M4" s="19"/>
      <c r="N4" s="19"/>
      <c r="O4" s="19"/>
      <c r="P4" s="19"/>
      <c r="Q4" s="19"/>
      <c r="R4" s="21" t="s">
        <v>37</v>
      </c>
      <c r="S4" s="22"/>
      <c r="T4" s="22"/>
      <c r="U4" s="22"/>
      <c r="V4" s="22"/>
      <c r="W4" s="22"/>
      <c r="X4" s="22"/>
      <c r="Y4" s="22"/>
      <c r="Z4" s="22"/>
      <c r="AA4" s="22"/>
      <c r="AB4" s="24"/>
      <c r="AC4" s="8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 t="s">
        <v>38</v>
      </c>
      <c r="AW4" s="20" t="s">
        <v>39</v>
      </c>
      <c r="AX4" s="17"/>
      <c r="AY4" s="21"/>
      <c r="AZ4" s="23"/>
      <c r="BA4" s="23"/>
      <c r="BB4" s="23"/>
      <c r="BC4" s="23"/>
      <c r="BD4" s="23"/>
      <c r="BE4" s="23"/>
      <c r="BF4" s="23"/>
      <c r="BG4" s="23"/>
      <c r="BH4" s="25"/>
      <c r="BI4" s="1"/>
      <c r="BJ4" s="1"/>
      <c r="BK4" s="1"/>
    </row>
    <row r="5" spans="1:80" ht="21.6" customHeight="1" thickBot="1">
      <c r="A5" s="17"/>
      <c r="B5" s="17"/>
      <c r="C5" s="17"/>
      <c r="D5" s="8"/>
      <c r="E5" s="8"/>
      <c r="F5" s="8"/>
      <c r="G5" s="8"/>
      <c r="H5" s="8"/>
      <c r="I5" s="8"/>
      <c r="J5" s="8"/>
      <c r="K5" s="8"/>
      <c r="L5" s="8"/>
      <c r="M5" s="19"/>
      <c r="N5" s="19"/>
      <c r="O5" s="19"/>
      <c r="P5" s="19"/>
      <c r="Q5" s="18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8"/>
      <c r="AG5" s="8"/>
      <c r="AH5" s="8"/>
      <c r="AI5" s="8"/>
      <c r="AJ5" s="8"/>
      <c r="AK5" s="8"/>
      <c r="AL5" s="8"/>
      <c r="AM5" s="8"/>
      <c r="AN5" s="17"/>
      <c r="AO5" s="17"/>
      <c r="AP5" s="17"/>
      <c r="AQ5" s="17"/>
      <c r="AS5" s="8" t="s">
        <v>40</v>
      </c>
      <c r="AT5" s="17"/>
      <c r="AU5" s="17"/>
      <c r="AV5" s="17" t="s">
        <v>35</v>
      </c>
      <c r="AW5" s="20"/>
      <c r="AX5" s="17"/>
      <c r="AY5" s="8" t="s">
        <v>41</v>
      </c>
      <c r="AZ5" s="17"/>
      <c r="BA5" s="17"/>
      <c r="BB5" s="17"/>
      <c r="BC5" s="17"/>
      <c r="BD5" s="17"/>
      <c r="BE5" s="17"/>
      <c r="BF5" s="17"/>
      <c r="BG5" s="17"/>
      <c r="BH5" s="17"/>
      <c r="BI5" s="1"/>
      <c r="BJ5" s="1"/>
      <c r="BK5" s="1"/>
      <c r="BN5" s="4"/>
    </row>
    <row r="6" spans="1:80" ht="27" customHeight="1" thickBot="1">
      <c r="A6" s="17"/>
      <c r="B6" s="17"/>
      <c r="C6" s="253" t="s">
        <v>42</v>
      </c>
      <c r="D6" s="254"/>
      <c r="E6" s="254"/>
      <c r="F6" s="255"/>
      <c r="G6" s="26" t="s">
        <v>43</v>
      </c>
      <c r="H6" s="23"/>
      <c r="I6" s="23"/>
      <c r="J6" s="23"/>
      <c r="K6" s="23"/>
      <c r="L6" s="23"/>
      <c r="M6" s="23"/>
      <c r="N6" s="23"/>
      <c r="O6" s="23"/>
      <c r="P6" s="23"/>
      <c r="Q6" s="25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 t="s">
        <v>38</v>
      </c>
      <c r="AW6" s="20" t="s">
        <v>39</v>
      </c>
      <c r="AX6" s="17"/>
      <c r="AY6" s="21"/>
      <c r="AZ6" s="22"/>
      <c r="BA6" s="22"/>
      <c r="BB6" s="22"/>
      <c r="BC6" s="22"/>
      <c r="BD6" s="22"/>
      <c r="BE6" s="22"/>
      <c r="BF6" s="22"/>
      <c r="BG6" s="22"/>
      <c r="BH6" s="24"/>
      <c r="BI6" s="1"/>
      <c r="BJ6" s="1"/>
      <c r="BK6" s="1"/>
      <c r="BL6" s="1"/>
      <c r="BN6" s="4"/>
    </row>
    <row r="7" spans="1:80" ht="28.9" customHeight="1" thickBot="1">
      <c r="A7" s="17"/>
      <c r="B7" s="17"/>
      <c r="C7" s="253" t="s">
        <v>44</v>
      </c>
      <c r="D7" s="254"/>
      <c r="E7" s="254"/>
      <c r="F7" s="255"/>
      <c r="G7" s="26" t="s">
        <v>45</v>
      </c>
      <c r="H7" s="23"/>
      <c r="I7" s="23"/>
      <c r="J7" s="23"/>
      <c r="K7" s="23"/>
      <c r="L7" s="23"/>
      <c r="M7" s="23"/>
      <c r="N7" s="23"/>
      <c r="O7" s="23"/>
      <c r="P7" s="23"/>
      <c r="Q7" s="25"/>
      <c r="R7" s="8" t="s">
        <v>46</v>
      </c>
      <c r="S7" s="8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256" t="s">
        <v>47</v>
      </c>
      <c r="AQ7" s="257"/>
      <c r="AR7" s="257"/>
      <c r="AS7" s="257"/>
      <c r="AT7" s="258"/>
      <c r="AU7" s="8"/>
      <c r="AV7" s="8"/>
      <c r="AW7" s="17"/>
      <c r="AX7" s="17"/>
      <c r="AY7" s="17"/>
      <c r="AZ7" s="17"/>
      <c r="BA7" s="27"/>
      <c r="BB7" s="27"/>
      <c r="BC7" s="17"/>
      <c r="BD7" s="27"/>
      <c r="BE7" s="27"/>
      <c r="BF7" s="27"/>
      <c r="BG7" s="27"/>
      <c r="BH7" s="27"/>
      <c r="BI7" s="1"/>
      <c r="BJ7" s="1"/>
      <c r="BK7" s="1"/>
      <c r="BL7" s="1"/>
    </row>
    <row r="8" spans="1:80" ht="27" customHeight="1" thickBot="1">
      <c r="A8" s="17"/>
      <c r="B8" s="17"/>
      <c r="C8" s="262" t="s">
        <v>48</v>
      </c>
      <c r="D8" s="263"/>
      <c r="E8" s="263"/>
      <c r="F8" s="264"/>
      <c r="G8" s="26" t="s">
        <v>49</v>
      </c>
      <c r="H8" s="23"/>
      <c r="I8" s="23"/>
      <c r="J8" s="23"/>
      <c r="K8" s="23"/>
      <c r="L8" s="23"/>
      <c r="M8" s="23"/>
      <c r="N8" s="23"/>
      <c r="O8" s="23"/>
      <c r="P8" s="23"/>
      <c r="Q8" s="25"/>
      <c r="R8" s="22" t="s">
        <v>50</v>
      </c>
      <c r="S8" s="22" t="s">
        <v>51</v>
      </c>
      <c r="T8" s="22"/>
      <c r="U8" s="22"/>
      <c r="V8" s="22"/>
      <c r="W8" s="23"/>
      <c r="X8" s="23"/>
      <c r="Y8" s="23"/>
      <c r="Z8" s="23"/>
      <c r="AA8" s="23"/>
      <c r="AB8" s="23"/>
      <c r="AC8" s="47" t="s">
        <v>52</v>
      </c>
      <c r="AD8" s="7" t="s">
        <v>53</v>
      </c>
      <c r="AE8" s="48"/>
      <c r="AF8" s="48"/>
      <c r="AG8" s="48"/>
      <c r="AH8" s="48"/>
      <c r="AI8" s="48"/>
      <c r="AJ8" s="48"/>
      <c r="AK8" s="48"/>
      <c r="AL8" s="48"/>
      <c r="AM8" s="32"/>
      <c r="AN8" s="17"/>
      <c r="AO8" s="17"/>
      <c r="AP8" s="259"/>
      <c r="AQ8" s="260"/>
      <c r="AR8" s="260"/>
      <c r="AS8" s="260"/>
      <c r="AT8" s="261"/>
      <c r="AU8" s="23" t="s">
        <v>54</v>
      </c>
      <c r="AV8" s="24"/>
      <c r="AW8" s="30" t="s">
        <v>33</v>
      </c>
      <c r="AX8" s="31"/>
      <c r="AY8" s="32"/>
      <c r="AZ8" s="27"/>
      <c r="BA8" s="27"/>
      <c r="BB8" s="27"/>
      <c r="BC8" s="27"/>
      <c r="BD8" s="27"/>
      <c r="BE8" s="27"/>
      <c r="BF8" s="27"/>
      <c r="BG8" s="27"/>
      <c r="BH8" s="27"/>
      <c r="BI8" s="1"/>
      <c r="BJ8" s="1"/>
      <c r="BK8" s="1"/>
      <c r="BM8" s="1"/>
      <c r="BX8" s="1"/>
    </row>
    <row r="9" spans="1:80" ht="27" customHeight="1" thickBot="1">
      <c r="A9" s="17"/>
      <c r="B9" s="17"/>
      <c r="C9" s="253" t="s">
        <v>4</v>
      </c>
      <c r="D9" s="254"/>
      <c r="E9" s="254"/>
      <c r="F9" s="255"/>
      <c r="G9" s="221"/>
      <c r="H9" s="23"/>
      <c r="I9" s="23"/>
      <c r="J9" s="23"/>
      <c r="K9" s="23"/>
      <c r="L9" s="23"/>
      <c r="M9" s="23"/>
      <c r="N9" s="23"/>
      <c r="O9" s="23"/>
      <c r="P9" s="23"/>
      <c r="Q9" s="25"/>
      <c r="R9" s="22" t="s">
        <v>50</v>
      </c>
      <c r="S9" s="22" t="s">
        <v>55</v>
      </c>
      <c r="T9" s="22"/>
      <c r="U9" s="22"/>
      <c r="V9" s="22"/>
      <c r="W9" s="23"/>
      <c r="X9" s="23"/>
      <c r="Y9" s="23"/>
      <c r="Z9" s="23"/>
      <c r="AA9" s="23"/>
      <c r="AB9" s="23"/>
      <c r="AC9" s="21" t="s">
        <v>52</v>
      </c>
      <c r="AD9" s="44" t="s">
        <v>55</v>
      </c>
      <c r="AE9" s="23"/>
      <c r="AF9" s="22"/>
      <c r="AG9" s="22"/>
      <c r="AH9" s="22"/>
      <c r="AI9" s="23"/>
      <c r="AJ9" s="22"/>
      <c r="AK9" s="22"/>
      <c r="AL9" s="22"/>
      <c r="AM9" s="24"/>
      <c r="AN9" s="17"/>
      <c r="AO9" s="17"/>
      <c r="AP9" s="49">
        <v>1</v>
      </c>
      <c r="AQ9" s="45" t="s">
        <v>56</v>
      </c>
      <c r="AR9" s="50"/>
      <c r="AS9" s="50"/>
      <c r="AT9" s="46"/>
      <c r="AU9" s="21" t="s">
        <v>57</v>
      </c>
      <c r="AV9" s="22"/>
      <c r="AW9" s="26" t="s">
        <v>58</v>
      </c>
      <c r="AX9" s="23"/>
      <c r="AY9" s="22"/>
      <c r="AZ9" s="23"/>
      <c r="BA9" s="23"/>
      <c r="BB9" s="23"/>
      <c r="BC9" s="23"/>
      <c r="BD9" s="23"/>
      <c r="BE9" s="23"/>
      <c r="BF9" s="23"/>
      <c r="BG9" s="23"/>
      <c r="BH9" s="25"/>
      <c r="BI9" s="1"/>
      <c r="BJ9" s="1"/>
      <c r="BK9" s="1"/>
      <c r="BL9" s="1"/>
      <c r="BM9" s="1"/>
    </row>
    <row r="10" spans="1:80" ht="27" customHeight="1" thickBot="1">
      <c r="A10" s="17"/>
      <c r="B10" s="17"/>
      <c r="C10" s="253" t="s">
        <v>2</v>
      </c>
      <c r="D10" s="254"/>
      <c r="E10" s="254"/>
      <c r="F10" s="255"/>
      <c r="G10" s="221" t="s">
        <v>59</v>
      </c>
      <c r="H10" s="67"/>
      <c r="I10" s="67"/>
      <c r="J10" s="67"/>
      <c r="K10" s="23"/>
      <c r="L10" s="23"/>
      <c r="M10" s="23"/>
      <c r="N10" s="23"/>
      <c r="O10" s="23"/>
      <c r="P10" s="23"/>
      <c r="Q10" s="25"/>
      <c r="R10" s="17"/>
      <c r="S10" s="17"/>
      <c r="T10" s="8"/>
      <c r="U10" s="8"/>
      <c r="V10" s="8"/>
      <c r="W10" s="17"/>
      <c r="X10" s="17"/>
      <c r="Y10" s="17"/>
      <c r="Z10" s="17"/>
      <c r="AA10" s="17"/>
      <c r="AB10" s="17"/>
      <c r="AC10" s="17"/>
      <c r="AE10" s="8"/>
      <c r="AF10" s="8"/>
      <c r="AG10" s="8"/>
      <c r="AH10" s="8"/>
      <c r="AI10" s="17"/>
      <c r="AJ10" s="8"/>
      <c r="AK10" s="8"/>
      <c r="AL10" s="8"/>
      <c r="AM10" s="8"/>
      <c r="AN10" s="17"/>
      <c r="AO10" s="17"/>
      <c r="AP10" s="33">
        <v>2</v>
      </c>
      <c r="AQ10" s="21" t="s">
        <v>56</v>
      </c>
      <c r="AR10" s="22"/>
      <c r="AS10" s="22"/>
      <c r="AT10" s="25"/>
      <c r="AU10" s="21" t="s">
        <v>57</v>
      </c>
      <c r="AV10" s="22"/>
      <c r="AW10" s="26" t="s">
        <v>58</v>
      </c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5"/>
      <c r="BI10" s="1"/>
      <c r="BJ10" s="1"/>
      <c r="BK10" s="1"/>
      <c r="BL10" s="1"/>
      <c r="BM10" s="1"/>
      <c r="BX10" s="1"/>
    </row>
    <row r="11" spans="1:80" ht="26.65" customHeight="1" thickBot="1">
      <c r="A11" s="17"/>
      <c r="B11" s="17"/>
      <c r="C11" s="253" t="s">
        <v>60</v>
      </c>
      <c r="D11" s="254"/>
      <c r="E11" s="254"/>
      <c r="F11" s="255"/>
      <c r="G11" s="26" t="s">
        <v>61</v>
      </c>
      <c r="H11" s="23"/>
      <c r="I11" s="23"/>
      <c r="J11" s="23"/>
      <c r="K11" s="23"/>
      <c r="L11" s="23"/>
      <c r="M11" s="23"/>
      <c r="N11" s="23"/>
      <c r="O11" s="23"/>
      <c r="P11" s="23"/>
      <c r="Q11" s="25"/>
      <c r="R11" s="22" t="s">
        <v>62</v>
      </c>
      <c r="S11" s="22" t="s">
        <v>63</v>
      </c>
      <c r="T11" s="22"/>
      <c r="U11" s="22"/>
      <c r="V11" s="22"/>
      <c r="W11" s="22"/>
      <c r="X11" s="22"/>
      <c r="Y11" s="23"/>
      <c r="Z11" s="22"/>
      <c r="AA11" s="22"/>
      <c r="AB11" s="25"/>
      <c r="AC11" s="21" t="s">
        <v>64</v>
      </c>
      <c r="AD11" s="44"/>
      <c r="AE11" s="22"/>
      <c r="AF11" s="22"/>
      <c r="AG11" s="22"/>
      <c r="AH11" s="22"/>
      <c r="AI11" s="23"/>
      <c r="AJ11" s="22"/>
      <c r="AK11" s="22"/>
      <c r="AL11" s="22"/>
      <c r="AM11" s="24"/>
      <c r="AN11" s="17"/>
      <c r="AO11" s="17"/>
      <c r="AP11" s="33">
        <v>3</v>
      </c>
      <c r="AQ11" s="21"/>
      <c r="AR11" s="22"/>
      <c r="AS11" s="22"/>
      <c r="AT11" s="25"/>
      <c r="AU11" s="21"/>
      <c r="AV11" s="22"/>
      <c r="AW11" s="26"/>
      <c r="AX11" s="23"/>
      <c r="AY11" s="23"/>
      <c r="AZ11" s="22"/>
      <c r="BA11" s="23"/>
      <c r="BB11" s="23"/>
      <c r="BC11" s="23"/>
      <c r="BD11" s="23"/>
      <c r="BE11" s="23"/>
      <c r="BF11" s="23"/>
      <c r="BG11" s="23"/>
      <c r="BH11" s="25"/>
      <c r="BI11" s="1"/>
      <c r="BJ11" s="1"/>
      <c r="BK11" s="1"/>
      <c r="BL11" s="1"/>
      <c r="BM11" s="1"/>
      <c r="BN11" s="1"/>
    </row>
    <row r="12" spans="1:80" ht="27" customHeight="1" thickBot="1">
      <c r="A12" s="8"/>
      <c r="B12" s="17"/>
      <c r="C12" s="253" t="s">
        <v>65</v>
      </c>
      <c r="D12" s="254"/>
      <c r="E12" s="254"/>
      <c r="F12" s="255"/>
      <c r="G12" s="21" t="s">
        <v>66</v>
      </c>
      <c r="H12" s="22"/>
      <c r="I12" s="22"/>
      <c r="J12" s="22"/>
      <c r="K12" s="22"/>
      <c r="L12" s="22"/>
      <c r="M12" s="22"/>
      <c r="N12" s="22"/>
      <c r="O12" s="22"/>
      <c r="P12" s="22"/>
      <c r="Q12" s="24"/>
      <c r="R12" s="22" t="s">
        <v>62</v>
      </c>
      <c r="S12" s="22" t="s">
        <v>67</v>
      </c>
      <c r="T12" s="22"/>
      <c r="U12" s="22"/>
      <c r="V12" s="22"/>
      <c r="W12" s="22"/>
      <c r="X12" s="22"/>
      <c r="Y12" s="23"/>
      <c r="Z12" s="22"/>
      <c r="AA12" s="22"/>
      <c r="AB12" s="25"/>
      <c r="AC12" s="21" t="s">
        <v>64</v>
      </c>
      <c r="AD12" s="44"/>
      <c r="AE12" s="22"/>
      <c r="AF12" s="22"/>
      <c r="AG12" s="22"/>
      <c r="AH12" s="22"/>
      <c r="AI12" s="23"/>
      <c r="AJ12" s="22"/>
      <c r="AK12" s="22"/>
      <c r="AL12" s="22"/>
      <c r="AM12" s="24"/>
      <c r="AN12" s="17"/>
      <c r="AO12" s="17"/>
      <c r="AP12" s="33">
        <v>4</v>
      </c>
      <c r="AQ12" s="21"/>
      <c r="AR12" s="22"/>
      <c r="AS12" s="22"/>
      <c r="AT12" s="25"/>
      <c r="AU12" s="21"/>
      <c r="AV12" s="22"/>
      <c r="AW12" s="26"/>
      <c r="AX12" s="23"/>
      <c r="AY12" s="23"/>
      <c r="AZ12" s="22"/>
      <c r="BA12" s="22"/>
      <c r="BB12" s="22"/>
      <c r="BC12" s="22"/>
      <c r="BD12" s="22"/>
      <c r="BE12" s="22"/>
      <c r="BF12" s="22"/>
      <c r="BG12" s="22"/>
      <c r="BH12" s="24"/>
      <c r="BI12" s="1"/>
      <c r="BJ12" s="1"/>
      <c r="BK12" s="1"/>
      <c r="BL12" s="1"/>
      <c r="BM12" s="1"/>
      <c r="BN12" s="1"/>
    </row>
    <row r="13" spans="1:80" ht="22.9" customHeight="1">
      <c r="A13" s="238"/>
      <c r="B13" s="91"/>
      <c r="C13" s="51"/>
      <c r="D13" s="31"/>
      <c r="E13" s="31"/>
      <c r="F13" s="31"/>
      <c r="G13" s="31"/>
      <c r="H13" s="31"/>
      <c r="I13" s="52"/>
      <c r="J13" s="47"/>
      <c r="K13" s="31"/>
      <c r="L13" s="52"/>
      <c r="M13" s="51"/>
      <c r="N13" s="53"/>
      <c r="O13" s="53"/>
      <c r="P13" s="53"/>
      <c r="Q13" s="54"/>
      <c r="R13" s="55" t="s">
        <v>68</v>
      </c>
      <c r="S13" s="56"/>
      <c r="T13" s="31"/>
      <c r="U13" s="31"/>
      <c r="V13" s="31"/>
      <c r="W13" s="48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55" t="s">
        <v>69</v>
      </c>
      <c r="AS13" s="56"/>
      <c r="AT13" s="31"/>
      <c r="AU13" s="31"/>
      <c r="AV13" s="31"/>
      <c r="AW13" s="31"/>
      <c r="AX13" s="31"/>
      <c r="AY13" s="31"/>
      <c r="AZ13" s="56"/>
      <c r="BA13" s="48"/>
      <c r="BB13" s="31"/>
      <c r="BC13" s="31"/>
      <c r="BD13" s="31"/>
      <c r="BE13" s="31"/>
      <c r="BF13" s="31"/>
      <c r="BG13" s="52"/>
      <c r="BH13" s="32"/>
      <c r="BI13" s="1"/>
      <c r="BJ13" s="1"/>
      <c r="BK13" s="1"/>
      <c r="BL13" s="1"/>
      <c r="BN13" s="1"/>
      <c r="BO13" s="1"/>
      <c r="BP13" s="1"/>
      <c r="BQ13" s="1"/>
      <c r="BR13" s="1"/>
      <c r="BS13" s="1"/>
    </row>
    <row r="14" spans="1:80" ht="179.65" customHeight="1" thickBot="1">
      <c r="A14" s="239" t="s">
        <v>70</v>
      </c>
      <c r="B14" s="92" t="s">
        <v>71</v>
      </c>
      <c r="C14" s="57" t="s">
        <v>72</v>
      </c>
      <c r="D14" s="58" t="s">
        <v>73</v>
      </c>
      <c r="E14" s="58" t="s">
        <v>74</v>
      </c>
      <c r="F14" s="58" t="s">
        <v>75</v>
      </c>
      <c r="G14" s="58" t="s">
        <v>76</v>
      </c>
      <c r="H14" s="58" t="s">
        <v>77</v>
      </c>
      <c r="I14" s="59" t="s">
        <v>78</v>
      </c>
      <c r="J14" s="57" t="s">
        <v>79</v>
      </c>
      <c r="K14" s="58" t="s">
        <v>80</v>
      </c>
      <c r="L14" s="59" t="s">
        <v>81</v>
      </c>
      <c r="M14" s="57" t="s">
        <v>82</v>
      </c>
      <c r="N14" s="58" t="s">
        <v>83</v>
      </c>
      <c r="O14" s="58" t="s">
        <v>84</v>
      </c>
      <c r="P14" s="58" t="s">
        <v>85</v>
      </c>
      <c r="Q14" s="59" t="s">
        <v>86</v>
      </c>
      <c r="R14" s="57" t="s">
        <v>87</v>
      </c>
      <c r="S14" s="58" t="s">
        <v>88</v>
      </c>
      <c r="T14" s="58" t="s">
        <v>89</v>
      </c>
      <c r="U14" s="58" t="s">
        <v>90</v>
      </c>
      <c r="V14" s="58" t="s">
        <v>91</v>
      </c>
      <c r="W14" s="58" t="s">
        <v>92</v>
      </c>
      <c r="X14" s="58" t="s">
        <v>93</v>
      </c>
      <c r="Y14" s="58" t="s">
        <v>94</v>
      </c>
      <c r="Z14" s="58" t="s">
        <v>95</v>
      </c>
      <c r="AA14" s="58" t="s">
        <v>96</v>
      </c>
      <c r="AB14" s="58" t="s">
        <v>97</v>
      </c>
      <c r="AC14" s="58" t="s">
        <v>98</v>
      </c>
      <c r="AD14" s="58" t="s">
        <v>99</v>
      </c>
      <c r="AE14" s="58" t="s">
        <v>100</v>
      </c>
      <c r="AF14" s="58" t="s">
        <v>101</v>
      </c>
      <c r="AG14" s="58" t="s">
        <v>102</v>
      </c>
      <c r="AH14" s="58" t="s">
        <v>103</v>
      </c>
      <c r="AI14" s="58" t="s">
        <v>104</v>
      </c>
      <c r="AJ14" s="58" t="s">
        <v>105</v>
      </c>
      <c r="AK14" s="58" t="s">
        <v>106</v>
      </c>
      <c r="AL14" s="58" t="s">
        <v>107</v>
      </c>
      <c r="AM14" s="58" t="s">
        <v>108</v>
      </c>
      <c r="AN14" s="58" t="s">
        <v>109</v>
      </c>
      <c r="AO14" s="58" t="s">
        <v>110</v>
      </c>
      <c r="AP14" s="58" t="s">
        <v>111</v>
      </c>
      <c r="AQ14" s="58" t="s">
        <v>112</v>
      </c>
      <c r="AR14" s="57" t="s">
        <v>87</v>
      </c>
      <c r="AS14" s="58" t="s">
        <v>88</v>
      </c>
      <c r="AT14" s="58" t="s">
        <v>89</v>
      </c>
      <c r="AU14" s="58" t="s">
        <v>90</v>
      </c>
      <c r="AV14" s="58" t="s">
        <v>91</v>
      </c>
      <c r="AW14" s="58" t="s">
        <v>92</v>
      </c>
      <c r="AX14" s="58" t="s">
        <v>93</v>
      </c>
      <c r="AY14" s="58" t="s">
        <v>113</v>
      </c>
      <c r="AZ14" s="58" t="s">
        <v>94</v>
      </c>
      <c r="BA14" s="58" t="s">
        <v>95</v>
      </c>
      <c r="BB14" s="58" t="s">
        <v>114</v>
      </c>
      <c r="BC14" s="58" t="s">
        <v>115</v>
      </c>
      <c r="BD14" s="58" t="s">
        <v>116</v>
      </c>
      <c r="BE14" s="58" t="s">
        <v>117</v>
      </c>
      <c r="BF14" s="58" t="s">
        <v>118</v>
      </c>
      <c r="BG14" s="59" t="s">
        <v>119</v>
      </c>
      <c r="BH14" s="66" t="s">
        <v>120</v>
      </c>
      <c r="BI14" s="9"/>
      <c r="BJ14" s="9"/>
      <c r="BK14" s="9"/>
      <c r="BM14" s="9"/>
      <c r="BN14" s="9"/>
      <c r="BO14" s="9"/>
      <c r="BP14" s="9"/>
      <c r="BQ14" s="9"/>
      <c r="BR14" s="9"/>
      <c r="BS14" s="9"/>
      <c r="BT14" s="9"/>
      <c r="CB14" s="5"/>
    </row>
    <row r="15" spans="1:80" ht="29.65" customHeight="1">
      <c r="A15" s="1">
        <v>1</v>
      </c>
      <c r="B15" s="222" t="s">
        <v>121</v>
      </c>
      <c r="C15" s="183"/>
      <c r="D15" s="184" t="s">
        <v>39</v>
      </c>
      <c r="E15" s="184"/>
      <c r="F15" s="184"/>
      <c r="G15" s="191" t="s">
        <v>39</v>
      </c>
      <c r="H15" s="184"/>
      <c r="I15" s="223"/>
      <c r="J15" s="224" t="s">
        <v>122</v>
      </c>
      <c r="K15" s="191">
        <v>5</v>
      </c>
      <c r="L15" s="187"/>
      <c r="M15" s="188"/>
      <c r="N15" s="189"/>
      <c r="O15" s="189"/>
      <c r="P15" s="189"/>
      <c r="Q15" s="190"/>
      <c r="R15" s="185">
        <v>4</v>
      </c>
      <c r="S15" s="186"/>
      <c r="T15" s="191"/>
      <c r="U15" s="191">
        <v>1</v>
      </c>
      <c r="V15" s="191"/>
      <c r="W15" s="186"/>
      <c r="X15" s="192"/>
      <c r="Y15" s="192"/>
      <c r="Z15" s="192"/>
      <c r="AA15" s="192"/>
      <c r="AB15" s="192"/>
      <c r="AC15" s="192"/>
      <c r="AD15" s="192"/>
      <c r="AE15" s="192">
        <v>1</v>
      </c>
      <c r="AF15" s="192"/>
      <c r="AG15" s="192"/>
      <c r="AH15" s="192"/>
      <c r="AI15" s="192"/>
      <c r="AJ15" s="192"/>
      <c r="AK15" s="192"/>
      <c r="AL15" s="192"/>
      <c r="AM15" s="192"/>
      <c r="AN15" s="186"/>
      <c r="AO15" s="186"/>
      <c r="AP15" s="186"/>
      <c r="AQ15" s="187"/>
      <c r="AR15" s="185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>
        <v>3</v>
      </c>
      <c r="BC15" s="186"/>
      <c r="BD15" s="186"/>
      <c r="BE15" s="186"/>
      <c r="BF15" s="186"/>
      <c r="BG15" s="187"/>
      <c r="BH15" s="193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</row>
    <row r="16" spans="1:80" ht="29.65" customHeight="1">
      <c r="A16" s="1">
        <v>2</v>
      </c>
      <c r="B16" s="3" t="s">
        <v>121</v>
      </c>
      <c r="C16" s="75"/>
      <c r="D16" s="70" t="s">
        <v>39</v>
      </c>
      <c r="E16" s="70"/>
      <c r="F16" s="70"/>
      <c r="G16" s="73" t="s">
        <v>39</v>
      </c>
      <c r="H16" s="70"/>
      <c r="I16" s="77"/>
      <c r="J16" s="76" t="s">
        <v>122</v>
      </c>
      <c r="K16" s="73">
        <v>5</v>
      </c>
      <c r="L16" s="81"/>
      <c r="M16" s="83"/>
      <c r="N16" s="72"/>
      <c r="O16" s="72"/>
      <c r="P16" s="72"/>
      <c r="Q16" s="84"/>
      <c r="R16" s="88">
        <v>1</v>
      </c>
      <c r="S16" s="71"/>
      <c r="T16" s="73"/>
      <c r="U16" s="73"/>
      <c r="V16" s="73"/>
      <c r="W16" s="93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82"/>
      <c r="AO16" s="71"/>
      <c r="AP16" s="71"/>
      <c r="AQ16" s="81"/>
      <c r="AR16" s="88"/>
      <c r="AS16" s="71"/>
      <c r="AT16" s="71"/>
      <c r="AU16" s="71"/>
      <c r="AV16" s="71"/>
      <c r="AW16" s="71"/>
      <c r="AX16" s="71"/>
      <c r="AY16" s="71"/>
      <c r="AZ16" s="71"/>
      <c r="BA16" s="71"/>
      <c r="BB16" s="71">
        <v>3</v>
      </c>
      <c r="BC16" s="71"/>
      <c r="BD16" s="71"/>
      <c r="BE16" s="71"/>
      <c r="BF16" s="71"/>
      <c r="BG16" s="81"/>
      <c r="BH16" s="89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</row>
    <row r="17" spans="1:71" ht="29.65" customHeight="1">
      <c r="A17" s="1">
        <v>3</v>
      </c>
      <c r="B17" s="182" t="s">
        <v>123</v>
      </c>
      <c r="C17" s="194"/>
      <c r="D17" s="195" t="s">
        <v>39</v>
      </c>
      <c r="E17" s="195"/>
      <c r="F17" s="195"/>
      <c r="G17" s="206" t="s">
        <v>39</v>
      </c>
      <c r="H17" s="195"/>
      <c r="I17" s="208"/>
      <c r="J17" s="207" t="s">
        <v>122</v>
      </c>
      <c r="K17" s="206">
        <v>5</v>
      </c>
      <c r="L17" s="198"/>
      <c r="M17" s="199"/>
      <c r="N17" s="200"/>
      <c r="O17" s="200"/>
      <c r="P17" s="200"/>
      <c r="Q17" s="201"/>
      <c r="R17" s="196"/>
      <c r="S17" s="197"/>
      <c r="T17" s="197"/>
      <c r="U17" s="197"/>
      <c r="V17" s="197"/>
      <c r="W17" s="202"/>
      <c r="X17" s="197"/>
      <c r="Y17" s="197"/>
      <c r="Z17" s="197"/>
      <c r="AA17" s="197"/>
      <c r="AB17" s="197"/>
      <c r="AC17" s="197"/>
      <c r="AD17" s="197"/>
      <c r="AE17" s="197">
        <v>1</v>
      </c>
      <c r="AF17" s="197"/>
      <c r="AG17" s="197"/>
      <c r="AH17" s="197"/>
      <c r="AI17" s="197"/>
      <c r="AJ17" s="197" t="s">
        <v>124</v>
      </c>
      <c r="AK17" s="197"/>
      <c r="AL17" s="197"/>
      <c r="AM17" s="197"/>
      <c r="AN17" s="203"/>
      <c r="AO17" s="197"/>
      <c r="AP17" s="197"/>
      <c r="AQ17" s="198"/>
      <c r="AR17" s="196"/>
      <c r="AS17" s="197"/>
      <c r="AT17" s="197"/>
      <c r="AU17" s="197"/>
      <c r="AV17" s="197"/>
      <c r="AW17" s="197"/>
      <c r="AX17" s="197"/>
      <c r="AY17" s="197"/>
      <c r="AZ17" s="204"/>
      <c r="BA17" s="197"/>
      <c r="BB17" s="197"/>
      <c r="BC17" s="197"/>
      <c r="BD17" s="197"/>
      <c r="BE17" s="197"/>
      <c r="BF17" s="197"/>
      <c r="BG17" s="198"/>
      <c r="BH17" s="205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</row>
    <row r="18" spans="1:71" ht="29.65" customHeight="1">
      <c r="A18" s="1">
        <v>4</v>
      </c>
      <c r="B18" s="3" t="s">
        <v>125</v>
      </c>
      <c r="C18" s="75"/>
      <c r="D18" s="70"/>
      <c r="E18" s="70" t="s">
        <v>39</v>
      </c>
      <c r="F18" s="70"/>
      <c r="G18" s="73"/>
      <c r="H18" s="70"/>
      <c r="I18" s="77"/>
      <c r="J18" s="76" t="s">
        <v>126</v>
      </c>
      <c r="K18" s="73">
        <v>5</v>
      </c>
      <c r="L18" s="81"/>
      <c r="M18" s="83"/>
      <c r="N18" s="72"/>
      <c r="O18" s="72"/>
      <c r="P18" s="72"/>
      <c r="Q18" s="84"/>
      <c r="R18" s="88">
        <v>1</v>
      </c>
      <c r="S18" s="71"/>
      <c r="T18" s="71"/>
      <c r="U18" s="71">
        <v>1</v>
      </c>
      <c r="V18" s="71"/>
      <c r="W18" s="93"/>
      <c r="X18" s="71"/>
      <c r="Y18" s="71"/>
      <c r="Z18" s="71"/>
      <c r="AA18" s="71"/>
      <c r="AB18" s="71"/>
      <c r="AC18" s="71">
        <v>1</v>
      </c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82"/>
      <c r="AO18" s="71"/>
      <c r="AP18" s="71"/>
      <c r="AQ18" s="81"/>
      <c r="AR18" s="88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81"/>
      <c r="BH18" s="89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</row>
    <row r="19" spans="1:71" ht="29.65" customHeight="1">
      <c r="A19" s="1">
        <v>5</v>
      </c>
      <c r="B19" s="182"/>
      <c r="C19" s="194"/>
      <c r="D19" s="195" t="s">
        <v>39</v>
      </c>
      <c r="E19" s="195"/>
      <c r="F19" s="195"/>
      <c r="G19" s="206" t="s">
        <v>39</v>
      </c>
      <c r="H19" s="195"/>
      <c r="I19" s="208"/>
      <c r="J19" s="207" t="s">
        <v>122</v>
      </c>
      <c r="K19" s="206">
        <v>5</v>
      </c>
      <c r="L19" s="198"/>
      <c r="M19" s="199"/>
      <c r="N19" s="200"/>
      <c r="O19" s="200"/>
      <c r="P19" s="200"/>
      <c r="Q19" s="201"/>
      <c r="R19" s="196">
        <v>3</v>
      </c>
      <c r="S19" s="197"/>
      <c r="T19" s="197"/>
      <c r="U19" s="197"/>
      <c r="V19" s="197"/>
      <c r="W19" s="202"/>
      <c r="X19" s="206"/>
      <c r="Y19" s="197"/>
      <c r="Z19" s="197"/>
      <c r="AA19" s="197"/>
      <c r="AB19" s="197"/>
      <c r="AC19" s="197">
        <v>2</v>
      </c>
      <c r="AD19" s="197"/>
      <c r="AE19" s="197"/>
      <c r="AF19" s="197"/>
      <c r="AG19" s="197"/>
      <c r="AH19" s="197"/>
      <c r="AI19" s="197"/>
      <c r="AJ19" s="197"/>
      <c r="AK19" s="197"/>
      <c r="AL19" s="197"/>
      <c r="AM19" s="197"/>
      <c r="AN19" s="203"/>
      <c r="AO19" s="197"/>
      <c r="AP19" s="197"/>
      <c r="AQ19" s="198"/>
      <c r="AR19" s="196"/>
      <c r="AS19" s="197"/>
      <c r="AT19" s="197"/>
      <c r="AU19" s="197"/>
      <c r="AV19" s="197"/>
      <c r="AW19" s="197"/>
      <c r="AX19" s="197"/>
      <c r="AY19" s="197"/>
      <c r="AZ19" s="197"/>
      <c r="BA19" s="197"/>
      <c r="BB19" s="197"/>
      <c r="BC19" s="197"/>
      <c r="BD19" s="197"/>
      <c r="BE19" s="197"/>
      <c r="BF19" s="197"/>
      <c r="BG19" s="198"/>
      <c r="BH19" s="205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</row>
    <row r="20" spans="1:71" ht="29.65" customHeight="1">
      <c r="A20" s="1">
        <v>6</v>
      </c>
      <c r="B20" s="3" t="s">
        <v>127</v>
      </c>
      <c r="C20" s="75"/>
      <c r="D20" s="70" t="s">
        <v>39</v>
      </c>
      <c r="E20" s="70"/>
      <c r="F20" s="70"/>
      <c r="G20" s="73" t="s">
        <v>39</v>
      </c>
      <c r="H20" s="73"/>
      <c r="I20" s="77"/>
      <c r="J20" s="76" t="s">
        <v>122</v>
      </c>
      <c r="K20" s="73">
        <v>5</v>
      </c>
      <c r="L20" s="81"/>
      <c r="M20" s="83"/>
      <c r="N20" s="72"/>
      <c r="O20" s="72"/>
      <c r="P20" s="72"/>
      <c r="Q20" s="84"/>
      <c r="R20" s="88">
        <v>1</v>
      </c>
      <c r="S20" s="71"/>
      <c r="T20" s="71"/>
      <c r="U20" s="71">
        <v>1</v>
      </c>
      <c r="V20" s="71"/>
      <c r="W20" s="93"/>
      <c r="X20" s="73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82"/>
      <c r="AO20" s="71"/>
      <c r="AP20" s="71"/>
      <c r="AQ20" s="81"/>
      <c r="AR20" s="88"/>
      <c r="AS20" s="71"/>
      <c r="AT20" s="71"/>
      <c r="AU20" s="71"/>
      <c r="AV20" s="71"/>
      <c r="AW20" s="71"/>
      <c r="AX20" s="71"/>
      <c r="AY20" s="71"/>
      <c r="AZ20" s="74"/>
      <c r="BA20" s="71"/>
      <c r="BB20" s="71"/>
      <c r="BC20" s="71"/>
      <c r="BD20" s="71"/>
      <c r="BE20" s="71"/>
      <c r="BF20" s="71"/>
      <c r="BG20" s="81"/>
      <c r="BH20" s="89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</row>
    <row r="21" spans="1:71" ht="29.65" customHeight="1">
      <c r="A21" s="1">
        <v>7</v>
      </c>
      <c r="B21" s="182" t="s">
        <v>128</v>
      </c>
      <c r="C21" s="207"/>
      <c r="D21" s="206" t="s">
        <v>39</v>
      </c>
      <c r="E21" s="206"/>
      <c r="F21" s="206"/>
      <c r="G21" s="206" t="s">
        <v>39</v>
      </c>
      <c r="H21" s="206"/>
      <c r="I21" s="208"/>
      <c r="J21" s="207" t="s">
        <v>122</v>
      </c>
      <c r="K21" s="206">
        <v>5</v>
      </c>
      <c r="L21" s="198"/>
      <c r="M21" s="199"/>
      <c r="N21" s="200"/>
      <c r="O21" s="200"/>
      <c r="P21" s="200"/>
      <c r="Q21" s="201"/>
      <c r="R21" s="196">
        <v>2</v>
      </c>
      <c r="S21" s="197"/>
      <c r="T21" s="197"/>
      <c r="U21" s="197">
        <v>2</v>
      </c>
      <c r="V21" s="197"/>
      <c r="W21" s="202"/>
      <c r="X21" s="206"/>
      <c r="Y21" s="197"/>
      <c r="Z21" s="197"/>
      <c r="AA21" s="197"/>
      <c r="AB21" s="197"/>
      <c r="AC21" s="197">
        <v>1</v>
      </c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203"/>
      <c r="AO21" s="197"/>
      <c r="AP21" s="197"/>
      <c r="AQ21" s="198"/>
      <c r="AR21" s="196"/>
      <c r="AS21" s="197"/>
      <c r="AT21" s="197"/>
      <c r="AU21" s="197"/>
      <c r="AV21" s="197"/>
      <c r="AW21" s="197"/>
      <c r="AX21" s="197"/>
      <c r="AY21" s="197"/>
      <c r="AZ21" s="197"/>
      <c r="BA21" s="197"/>
      <c r="BB21" s="197"/>
      <c r="BC21" s="197"/>
      <c r="BD21" s="197"/>
      <c r="BE21" s="197"/>
      <c r="BF21" s="197"/>
      <c r="BG21" s="198"/>
      <c r="BH21" s="205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</row>
    <row r="22" spans="1:71" ht="29.65" customHeight="1">
      <c r="A22" s="1">
        <v>8</v>
      </c>
      <c r="B22" s="3" t="s">
        <v>127</v>
      </c>
      <c r="C22" s="76"/>
      <c r="D22" s="73"/>
      <c r="E22" s="73" t="s">
        <v>39</v>
      </c>
      <c r="F22" s="73"/>
      <c r="G22" s="73"/>
      <c r="H22" s="73"/>
      <c r="I22" s="77"/>
      <c r="J22" s="76" t="s">
        <v>126</v>
      </c>
      <c r="K22" s="73">
        <v>5</v>
      </c>
      <c r="L22" s="81"/>
      <c r="M22" s="83"/>
      <c r="N22" s="72"/>
      <c r="O22" s="72"/>
      <c r="P22" s="72"/>
      <c r="Q22" s="84"/>
      <c r="R22" s="88"/>
      <c r="S22" s="71"/>
      <c r="T22" s="71"/>
      <c r="U22" s="71"/>
      <c r="V22" s="71"/>
      <c r="W22" s="93"/>
      <c r="X22" s="73"/>
      <c r="Y22" s="71" t="s">
        <v>129</v>
      </c>
      <c r="Z22" s="71"/>
      <c r="AA22" s="71"/>
      <c r="AB22" s="71"/>
      <c r="AC22" s="71"/>
      <c r="AD22" s="71"/>
      <c r="AE22" s="71">
        <v>1</v>
      </c>
      <c r="AF22" s="71"/>
      <c r="AG22" s="71"/>
      <c r="AH22" s="71"/>
      <c r="AI22" s="71"/>
      <c r="AJ22" s="71"/>
      <c r="AK22" s="71"/>
      <c r="AL22" s="71"/>
      <c r="AM22" s="71"/>
      <c r="AN22" s="82"/>
      <c r="AO22" s="71"/>
      <c r="AP22" s="71"/>
      <c r="AQ22" s="81"/>
      <c r="AR22" s="88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81"/>
      <c r="BH22" s="89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</row>
    <row r="23" spans="1:71" ht="29.65" customHeight="1">
      <c r="A23" s="1">
        <v>9</v>
      </c>
      <c r="B23" s="182" t="s">
        <v>130</v>
      </c>
      <c r="C23" s="207"/>
      <c r="D23" s="206" t="s">
        <v>39</v>
      </c>
      <c r="E23" s="206"/>
      <c r="F23" s="206"/>
      <c r="G23" s="206" t="s">
        <v>39</v>
      </c>
      <c r="H23" s="206"/>
      <c r="I23" s="208"/>
      <c r="J23" s="207" t="s">
        <v>122</v>
      </c>
      <c r="K23" s="206">
        <v>5</v>
      </c>
      <c r="L23" s="198"/>
      <c r="M23" s="199"/>
      <c r="N23" s="200"/>
      <c r="O23" s="200"/>
      <c r="P23" s="200"/>
      <c r="Q23" s="201"/>
      <c r="R23" s="196">
        <v>3</v>
      </c>
      <c r="S23" s="197"/>
      <c r="T23" s="197"/>
      <c r="U23" s="197"/>
      <c r="V23" s="197"/>
      <c r="W23" s="202"/>
      <c r="X23" s="206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>
        <v>1</v>
      </c>
      <c r="AM23" s="197"/>
      <c r="AN23" s="203"/>
      <c r="AO23" s="197"/>
      <c r="AP23" s="197"/>
      <c r="AQ23" s="198"/>
      <c r="AR23" s="196"/>
      <c r="AS23" s="197"/>
      <c r="AT23" s="197"/>
      <c r="AU23" s="197"/>
      <c r="AV23" s="197"/>
      <c r="AW23" s="197"/>
      <c r="AX23" s="197"/>
      <c r="AY23" s="197"/>
      <c r="AZ23" s="197"/>
      <c r="BA23" s="197"/>
      <c r="BB23" s="197">
        <v>4</v>
      </c>
      <c r="BC23" s="197"/>
      <c r="BD23" s="197"/>
      <c r="BE23" s="197"/>
      <c r="BF23" s="197"/>
      <c r="BG23" s="198"/>
      <c r="BH23" s="205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</row>
    <row r="24" spans="1:71" ht="30" customHeight="1">
      <c r="A24" s="1">
        <v>10</v>
      </c>
      <c r="B24" s="3" t="s">
        <v>131</v>
      </c>
      <c r="C24" s="76"/>
      <c r="D24" s="73" t="s">
        <v>39</v>
      </c>
      <c r="E24" s="73"/>
      <c r="F24" s="73"/>
      <c r="G24" s="73" t="s">
        <v>39</v>
      </c>
      <c r="H24" s="73"/>
      <c r="I24" s="77"/>
      <c r="J24" s="76" t="s">
        <v>122</v>
      </c>
      <c r="K24" s="73">
        <v>5</v>
      </c>
      <c r="L24" s="81"/>
      <c r="M24" s="83"/>
      <c r="N24" s="72"/>
      <c r="O24" s="72"/>
      <c r="P24" s="72"/>
      <c r="Q24" s="84"/>
      <c r="R24" s="88">
        <v>5</v>
      </c>
      <c r="S24" s="71"/>
      <c r="T24" s="71"/>
      <c r="U24" s="71">
        <v>5</v>
      </c>
      <c r="V24" s="71"/>
      <c r="W24" s="93"/>
      <c r="X24" s="73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>
        <v>1</v>
      </c>
      <c r="AM24" s="71"/>
      <c r="AN24" s="82"/>
      <c r="AO24" s="71"/>
      <c r="AP24" s="71"/>
      <c r="AQ24" s="81"/>
      <c r="AR24" s="88"/>
      <c r="AS24" s="71"/>
      <c r="AT24" s="71"/>
      <c r="AU24" s="71"/>
      <c r="AV24" s="71"/>
      <c r="AW24" s="71"/>
      <c r="AX24" s="71"/>
      <c r="AY24" s="71"/>
      <c r="AZ24" s="71"/>
      <c r="BA24" s="71"/>
      <c r="BB24" s="71">
        <v>8</v>
      </c>
      <c r="BC24" s="71"/>
      <c r="BD24" s="71"/>
      <c r="BE24" s="71"/>
      <c r="BF24" s="71"/>
      <c r="BG24" s="81"/>
      <c r="BH24" s="89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</row>
    <row r="25" spans="1:71" ht="29.65" customHeight="1">
      <c r="A25" s="1">
        <v>11</v>
      </c>
      <c r="B25" s="182" t="s">
        <v>132</v>
      </c>
      <c r="C25" s="207"/>
      <c r="D25" s="206" t="s">
        <v>39</v>
      </c>
      <c r="E25" s="206"/>
      <c r="F25" s="206"/>
      <c r="G25" s="206" t="s">
        <v>39</v>
      </c>
      <c r="H25" s="206"/>
      <c r="I25" s="208"/>
      <c r="J25" s="207" t="s">
        <v>122</v>
      </c>
      <c r="K25" s="206">
        <v>5</v>
      </c>
      <c r="L25" s="198"/>
      <c r="M25" s="199"/>
      <c r="N25" s="200"/>
      <c r="O25" s="200"/>
      <c r="P25" s="200"/>
      <c r="Q25" s="201"/>
      <c r="R25" s="196"/>
      <c r="S25" s="197"/>
      <c r="T25" s="197"/>
      <c r="U25" s="197">
        <v>1</v>
      </c>
      <c r="V25" s="197"/>
      <c r="W25" s="197"/>
      <c r="X25" s="209"/>
      <c r="Y25" s="210"/>
      <c r="Z25" s="210"/>
      <c r="AA25" s="210"/>
      <c r="AB25" s="210"/>
      <c r="AC25" s="210"/>
      <c r="AD25" s="210"/>
      <c r="AE25" s="210"/>
      <c r="AF25" s="210"/>
      <c r="AG25" s="210"/>
      <c r="AH25" s="210"/>
      <c r="AI25" s="210"/>
      <c r="AJ25" s="210"/>
      <c r="AK25" s="210"/>
      <c r="AL25" s="210">
        <v>1</v>
      </c>
      <c r="AM25" s="210"/>
      <c r="AN25" s="197"/>
      <c r="AO25" s="197"/>
      <c r="AP25" s="197"/>
      <c r="AQ25" s="198"/>
      <c r="AR25" s="196"/>
      <c r="AS25" s="197"/>
      <c r="AT25" s="197"/>
      <c r="AU25" s="197"/>
      <c r="AV25" s="197"/>
      <c r="AW25" s="197"/>
      <c r="AX25" s="197"/>
      <c r="AY25" s="197"/>
      <c r="AZ25" s="197"/>
      <c r="BA25" s="197"/>
      <c r="BB25" s="197"/>
      <c r="BC25" s="197"/>
      <c r="BD25" s="197"/>
      <c r="BE25" s="197"/>
      <c r="BF25" s="197"/>
      <c r="BG25" s="198"/>
      <c r="BH25" s="205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</row>
    <row r="26" spans="1:71" ht="29.65" customHeight="1">
      <c r="A26" s="1">
        <v>12</v>
      </c>
      <c r="B26" s="3" t="s">
        <v>133</v>
      </c>
      <c r="C26" s="76" t="s">
        <v>39</v>
      </c>
      <c r="D26" s="73"/>
      <c r="E26" s="73"/>
      <c r="F26" s="73"/>
      <c r="G26" s="73" t="s">
        <v>39</v>
      </c>
      <c r="H26" s="73"/>
      <c r="I26" s="77"/>
      <c r="J26" s="76" t="s">
        <v>122</v>
      </c>
      <c r="K26" s="73">
        <v>10</v>
      </c>
      <c r="L26" s="81"/>
      <c r="M26" s="83"/>
      <c r="N26" s="72"/>
      <c r="O26" s="72"/>
      <c r="P26" s="72"/>
      <c r="Q26" s="84"/>
      <c r="R26" s="88"/>
      <c r="S26" s="71"/>
      <c r="T26" s="71"/>
      <c r="U26" s="71"/>
      <c r="V26" s="71"/>
      <c r="W26" s="71"/>
      <c r="X26" s="71"/>
      <c r="Y26" s="71"/>
      <c r="Z26" s="71">
        <v>6</v>
      </c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81"/>
      <c r="AR26" s="88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81"/>
      <c r="BH26" s="89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</row>
    <row r="27" spans="1:71" ht="29.65" customHeight="1">
      <c r="A27" s="1">
        <v>13</v>
      </c>
      <c r="B27" s="182" t="s">
        <v>134</v>
      </c>
      <c r="C27" s="207"/>
      <c r="D27" s="206" t="s">
        <v>39</v>
      </c>
      <c r="E27" s="206"/>
      <c r="F27" s="206"/>
      <c r="G27" s="206" t="s">
        <v>39</v>
      </c>
      <c r="H27" s="206"/>
      <c r="I27" s="208"/>
      <c r="J27" s="207" t="s">
        <v>122</v>
      </c>
      <c r="K27" s="206">
        <v>5</v>
      </c>
      <c r="L27" s="208"/>
      <c r="M27" s="199"/>
      <c r="N27" s="200"/>
      <c r="O27" s="200"/>
      <c r="P27" s="200"/>
      <c r="Q27" s="201"/>
      <c r="R27" s="196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>
        <v>1</v>
      </c>
      <c r="AD27" s="197"/>
      <c r="AE27" s="197"/>
      <c r="AF27" s="197"/>
      <c r="AG27" s="197"/>
      <c r="AH27" s="197"/>
      <c r="AI27" s="197"/>
      <c r="AJ27" s="197">
        <v>1</v>
      </c>
      <c r="AK27" s="197"/>
      <c r="AL27" s="197"/>
      <c r="AM27" s="197"/>
      <c r="AN27" s="197"/>
      <c r="AO27" s="197"/>
      <c r="AP27" s="197"/>
      <c r="AQ27" s="198"/>
      <c r="AR27" s="196"/>
      <c r="AS27" s="197"/>
      <c r="AT27" s="197"/>
      <c r="AU27" s="197"/>
      <c r="AV27" s="197"/>
      <c r="AW27" s="197"/>
      <c r="AX27" s="197"/>
      <c r="AY27" s="197"/>
      <c r="AZ27" s="197"/>
      <c r="BA27" s="204"/>
      <c r="BB27" s="197"/>
      <c r="BC27" s="197"/>
      <c r="BD27" s="197"/>
      <c r="BE27" s="197"/>
      <c r="BF27" s="197"/>
      <c r="BG27" s="198"/>
      <c r="BH27" s="205"/>
      <c r="BI27" s="1"/>
      <c r="BJ27" s="1"/>
      <c r="BK27" s="2"/>
      <c r="BL27" s="1"/>
      <c r="BM27" s="2"/>
      <c r="BN27" s="1"/>
      <c r="BO27" s="1"/>
      <c r="BP27" s="1"/>
      <c r="BQ27" s="1"/>
      <c r="BR27" s="1"/>
      <c r="BS27" s="1"/>
    </row>
    <row r="28" spans="1:71" ht="29.65" customHeight="1">
      <c r="A28" s="1">
        <v>14</v>
      </c>
      <c r="B28" s="3" t="s">
        <v>135</v>
      </c>
      <c r="C28" s="76"/>
      <c r="D28" s="73" t="s">
        <v>39</v>
      </c>
      <c r="E28" s="73"/>
      <c r="F28" s="73"/>
      <c r="G28" s="73" t="s">
        <v>39</v>
      </c>
      <c r="H28" s="73"/>
      <c r="I28" s="77"/>
      <c r="J28" s="76" t="s">
        <v>122</v>
      </c>
      <c r="K28" s="73">
        <v>5</v>
      </c>
      <c r="L28" s="77"/>
      <c r="M28" s="83"/>
      <c r="N28" s="72"/>
      <c r="O28" s="72"/>
      <c r="P28" s="72"/>
      <c r="Q28" s="84"/>
      <c r="R28" s="88">
        <v>1</v>
      </c>
      <c r="S28" s="71"/>
      <c r="T28" s="71"/>
      <c r="U28" s="71"/>
      <c r="V28" s="71">
        <v>1</v>
      </c>
      <c r="W28" s="71"/>
      <c r="X28" s="71"/>
      <c r="Y28" s="71"/>
      <c r="Z28" s="71"/>
      <c r="AA28" s="71">
        <v>1</v>
      </c>
      <c r="AB28" s="71"/>
      <c r="AC28" s="71">
        <v>1</v>
      </c>
      <c r="AD28" s="71"/>
      <c r="AE28" s="71"/>
      <c r="AF28" s="71"/>
      <c r="AG28" s="71"/>
      <c r="AH28" s="71"/>
      <c r="AI28" s="71"/>
      <c r="AJ28" s="71"/>
      <c r="AK28" s="71"/>
      <c r="AL28" s="71">
        <v>1</v>
      </c>
      <c r="AM28" s="71"/>
      <c r="AN28" s="71"/>
      <c r="AO28" s="71"/>
      <c r="AP28" s="71"/>
      <c r="AQ28" s="81"/>
      <c r="AR28" s="88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81"/>
      <c r="BH28" s="89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</row>
    <row r="29" spans="1:71" ht="29.65" customHeight="1">
      <c r="A29" s="1">
        <v>15</v>
      </c>
      <c r="B29" s="182" t="s">
        <v>136</v>
      </c>
      <c r="C29" s="207" t="s">
        <v>39</v>
      </c>
      <c r="D29" s="206"/>
      <c r="E29" s="206"/>
      <c r="F29" s="206"/>
      <c r="G29" s="206" t="s">
        <v>39</v>
      </c>
      <c r="H29" s="206"/>
      <c r="I29" s="208"/>
      <c r="J29" s="207" t="s">
        <v>122</v>
      </c>
      <c r="K29" s="206">
        <v>10</v>
      </c>
      <c r="L29" s="208"/>
      <c r="M29" s="199"/>
      <c r="N29" s="200"/>
      <c r="O29" s="200"/>
      <c r="P29" s="200"/>
      <c r="Q29" s="201"/>
      <c r="R29" s="196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>
        <v>2</v>
      </c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AQ29" s="198"/>
      <c r="AR29" s="196"/>
      <c r="AS29" s="197"/>
      <c r="AT29" s="197"/>
      <c r="AU29" s="197"/>
      <c r="AV29" s="197"/>
      <c r="AW29" s="197"/>
      <c r="AX29" s="197"/>
      <c r="AY29" s="197"/>
      <c r="AZ29" s="197"/>
      <c r="BA29" s="197"/>
      <c r="BB29" s="197"/>
      <c r="BC29" s="197"/>
      <c r="BD29" s="197"/>
      <c r="BE29" s="197"/>
      <c r="BF29" s="197"/>
      <c r="BG29" s="198"/>
      <c r="BH29" s="205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</row>
    <row r="30" spans="1:71" ht="29.65" customHeight="1">
      <c r="A30" s="1">
        <v>16</v>
      </c>
      <c r="B30" s="3" t="s">
        <v>137</v>
      </c>
      <c r="C30" s="76"/>
      <c r="D30" s="73" t="s">
        <v>39</v>
      </c>
      <c r="E30" s="73"/>
      <c r="F30" s="73"/>
      <c r="G30" s="73" t="s">
        <v>39</v>
      </c>
      <c r="H30" s="73"/>
      <c r="I30" s="77"/>
      <c r="J30" s="76" t="s">
        <v>122</v>
      </c>
      <c r="K30" s="73">
        <v>5</v>
      </c>
      <c r="L30" s="77"/>
      <c r="M30" s="83"/>
      <c r="N30" s="72"/>
      <c r="O30" s="72"/>
      <c r="P30" s="72"/>
      <c r="Q30" s="84"/>
      <c r="R30" s="88">
        <v>3</v>
      </c>
      <c r="S30" s="71"/>
      <c r="T30" s="71"/>
      <c r="U30" s="71">
        <v>3</v>
      </c>
      <c r="V30" s="71"/>
      <c r="W30" s="71"/>
      <c r="X30" s="71"/>
      <c r="Y30" s="71"/>
      <c r="Z30" s="71"/>
      <c r="AA30" s="71"/>
      <c r="AB30" s="71"/>
      <c r="AC30" s="71">
        <v>1</v>
      </c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81"/>
      <c r="AR30" s="88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81"/>
      <c r="BH30" s="89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</row>
    <row r="31" spans="1:71" ht="30" customHeight="1">
      <c r="A31" s="1">
        <v>17</v>
      </c>
      <c r="B31" s="182" t="s">
        <v>138</v>
      </c>
      <c r="C31" s="207"/>
      <c r="D31" s="206"/>
      <c r="E31" s="206"/>
      <c r="F31" s="206" t="s">
        <v>39</v>
      </c>
      <c r="G31" s="206"/>
      <c r="H31" s="206" t="s">
        <v>39</v>
      </c>
      <c r="I31" s="208"/>
      <c r="J31" s="207" t="s">
        <v>126</v>
      </c>
      <c r="K31" s="206">
        <v>20</v>
      </c>
      <c r="L31" s="208"/>
      <c r="M31" s="199"/>
      <c r="N31" s="200"/>
      <c r="O31" s="200"/>
      <c r="P31" s="200"/>
      <c r="Q31" s="201"/>
      <c r="R31" s="196"/>
      <c r="S31" s="197"/>
      <c r="T31" s="197"/>
      <c r="U31" s="197"/>
      <c r="V31" s="197"/>
      <c r="W31" s="197"/>
      <c r="X31" s="197"/>
      <c r="Y31" s="197"/>
      <c r="Z31" s="197"/>
      <c r="AA31" s="197">
        <v>1</v>
      </c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8"/>
      <c r="AR31" s="196"/>
      <c r="AS31" s="197"/>
      <c r="AT31" s="197"/>
      <c r="AU31" s="197"/>
      <c r="AV31" s="197"/>
      <c r="AW31" s="197"/>
      <c r="AX31" s="197"/>
      <c r="AY31" s="197"/>
      <c r="AZ31" s="197"/>
      <c r="BA31" s="197"/>
      <c r="BB31" s="197"/>
      <c r="BC31" s="197"/>
      <c r="BD31" s="197"/>
      <c r="BE31" s="197"/>
      <c r="BF31" s="197"/>
      <c r="BG31" s="198"/>
      <c r="BH31" s="205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</row>
    <row r="32" spans="1:71" ht="29.65" customHeight="1">
      <c r="A32" s="1">
        <v>18</v>
      </c>
      <c r="B32" s="3" t="s">
        <v>139</v>
      </c>
      <c r="C32" s="76"/>
      <c r="D32" s="73"/>
      <c r="E32" s="73"/>
      <c r="F32" s="73" t="s">
        <v>39</v>
      </c>
      <c r="G32" s="73"/>
      <c r="H32" s="73" t="s">
        <v>39</v>
      </c>
      <c r="I32" s="77"/>
      <c r="J32" s="76" t="s">
        <v>126</v>
      </c>
      <c r="K32" s="73">
        <v>20</v>
      </c>
      <c r="L32" s="77"/>
      <c r="M32" s="83"/>
      <c r="N32" s="72"/>
      <c r="O32" s="72"/>
      <c r="P32" s="72"/>
      <c r="Q32" s="84"/>
      <c r="R32" s="88"/>
      <c r="S32" s="71"/>
      <c r="T32" s="71"/>
      <c r="U32" s="71"/>
      <c r="V32" s="71"/>
      <c r="W32" s="71"/>
      <c r="X32" s="71"/>
      <c r="Y32" s="71"/>
      <c r="Z32" s="71"/>
      <c r="AA32" s="71">
        <v>1</v>
      </c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81"/>
      <c r="AR32" s="88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81"/>
      <c r="BH32" s="89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</row>
    <row r="33" spans="1:75" ht="30.6" customHeight="1">
      <c r="A33" s="1">
        <v>19</v>
      </c>
      <c r="B33" s="182"/>
      <c r="C33" s="207"/>
      <c r="D33" s="206"/>
      <c r="E33" s="206"/>
      <c r="F33" s="206"/>
      <c r="G33" s="206"/>
      <c r="H33" s="206"/>
      <c r="I33" s="208"/>
      <c r="J33" s="207" t="s">
        <v>126</v>
      </c>
      <c r="K33" s="206">
        <v>20</v>
      </c>
      <c r="L33" s="208"/>
      <c r="M33" s="199"/>
      <c r="N33" s="200"/>
      <c r="O33" s="200"/>
      <c r="P33" s="200"/>
      <c r="Q33" s="201"/>
      <c r="R33" s="196"/>
      <c r="S33" s="197"/>
      <c r="T33" s="197"/>
      <c r="U33" s="197"/>
      <c r="V33" s="197"/>
      <c r="W33" s="197"/>
      <c r="X33" s="197" t="s">
        <v>140</v>
      </c>
      <c r="Y33" s="197"/>
      <c r="Z33" s="197"/>
      <c r="AA33" s="197"/>
      <c r="AB33" s="197"/>
      <c r="AC33" s="197"/>
      <c r="AD33" s="197">
        <v>1</v>
      </c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8"/>
      <c r="AR33" s="196"/>
      <c r="AS33" s="197"/>
      <c r="AT33" s="197"/>
      <c r="AU33" s="197"/>
      <c r="AV33" s="197"/>
      <c r="AW33" s="197"/>
      <c r="AX33" s="197"/>
      <c r="AY33" s="197"/>
      <c r="AZ33" s="197"/>
      <c r="BA33" s="197"/>
      <c r="BB33" s="197"/>
      <c r="BC33" s="197"/>
      <c r="BD33" s="197"/>
      <c r="BE33" s="197"/>
      <c r="BF33" s="197"/>
      <c r="BG33" s="198"/>
      <c r="BH33" s="205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</row>
    <row r="34" spans="1:75" ht="29.65" customHeight="1">
      <c r="A34" s="1">
        <v>20</v>
      </c>
      <c r="C34" s="76"/>
      <c r="D34" s="73"/>
      <c r="E34" s="73"/>
      <c r="F34" s="73"/>
      <c r="G34" s="73"/>
      <c r="H34" s="73"/>
      <c r="I34" s="77"/>
      <c r="J34" s="76" t="s">
        <v>122</v>
      </c>
      <c r="K34" s="73">
        <v>5</v>
      </c>
      <c r="L34" s="77"/>
      <c r="M34" s="83"/>
      <c r="N34" s="72"/>
      <c r="O34" s="72"/>
      <c r="P34" s="72"/>
      <c r="Q34" s="84"/>
      <c r="R34" s="88"/>
      <c r="S34" s="71"/>
      <c r="T34" s="71"/>
      <c r="U34" s="71"/>
      <c r="V34" s="71"/>
      <c r="W34" s="71"/>
      <c r="X34" s="71" t="s">
        <v>140</v>
      </c>
      <c r="Y34" s="71"/>
      <c r="Z34" s="71"/>
      <c r="AA34" s="71"/>
      <c r="AB34" s="71"/>
      <c r="AC34" s="71"/>
      <c r="AD34" s="71">
        <v>1</v>
      </c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81"/>
      <c r="AR34" s="88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81"/>
      <c r="BH34" s="89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</row>
    <row r="35" spans="1:75" ht="29.65" customHeight="1">
      <c r="A35" s="1">
        <v>21</v>
      </c>
      <c r="B35" s="182"/>
      <c r="C35" s="207"/>
      <c r="D35" s="206"/>
      <c r="E35" s="206"/>
      <c r="F35" s="206"/>
      <c r="G35" s="206"/>
      <c r="H35" s="206"/>
      <c r="I35" s="208"/>
      <c r="J35" s="207" t="s">
        <v>122</v>
      </c>
      <c r="K35" s="206">
        <v>5</v>
      </c>
      <c r="L35" s="208"/>
      <c r="M35" s="199"/>
      <c r="N35" s="200"/>
      <c r="O35" s="200"/>
      <c r="P35" s="200"/>
      <c r="Q35" s="201"/>
      <c r="R35" s="196"/>
      <c r="S35" s="197"/>
      <c r="T35" s="197"/>
      <c r="U35" s="197"/>
      <c r="V35" s="197"/>
      <c r="W35" s="197"/>
      <c r="X35" s="197" t="s">
        <v>140</v>
      </c>
      <c r="Y35" s="197"/>
      <c r="Z35" s="197"/>
      <c r="AA35" s="197"/>
      <c r="AB35" s="197"/>
      <c r="AC35" s="197"/>
      <c r="AD35" s="197">
        <v>1</v>
      </c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  <c r="AP35" s="197"/>
      <c r="AQ35" s="198"/>
      <c r="AR35" s="196"/>
      <c r="AS35" s="197"/>
      <c r="AT35" s="197"/>
      <c r="AU35" s="197"/>
      <c r="AV35" s="197"/>
      <c r="AW35" s="197"/>
      <c r="AX35" s="197"/>
      <c r="AY35" s="197"/>
      <c r="AZ35" s="197"/>
      <c r="BA35" s="197"/>
      <c r="BB35" s="197"/>
      <c r="BC35" s="197"/>
      <c r="BD35" s="197"/>
      <c r="BE35" s="197"/>
      <c r="BF35" s="197"/>
      <c r="BG35" s="198"/>
      <c r="BH35" s="205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</row>
    <row r="36" spans="1:75" ht="29.65" customHeight="1">
      <c r="A36" s="1">
        <v>22</v>
      </c>
      <c r="B36" s="3" t="s">
        <v>141</v>
      </c>
      <c r="C36" s="76" t="s">
        <v>39</v>
      </c>
      <c r="D36" s="73"/>
      <c r="E36" s="73"/>
      <c r="F36" s="73"/>
      <c r="G36" s="73" t="s">
        <v>39</v>
      </c>
      <c r="H36" s="73"/>
      <c r="I36" s="77"/>
      <c r="J36" s="76" t="s">
        <v>122</v>
      </c>
      <c r="K36" s="73">
        <v>10</v>
      </c>
      <c r="L36" s="77"/>
      <c r="M36" s="83"/>
      <c r="N36" s="72"/>
      <c r="O36" s="72"/>
      <c r="P36" s="72"/>
      <c r="Q36" s="84"/>
      <c r="R36" s="88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81"/>
      <c r="AR36" s="88"/>
      <c r="AS36" s="71"/>
      <c r="AT36" s="71"/>
      <c r="AU36" s="71"/>
      <c r="AV36" s="71"/>
      <c r="AW36" s="71"/>
      <c r="AX36" s="71"/>
      <c r="AY36" s="71"/>
      <c r="AZ36" s="71"/>
      <c r="BA36" s="71"/>
      <c r="BB36" s="71">
        <v>7</v>
      </c>
      <c r="BC36" s="71"/>
      <c r="BD36" s="71"/>
      <c r="BE36" s="71"/>
      <c r="BF36" s="71"/>
      <c r="BG36" s="81"/>
      <c r="BH36" s="89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</row>
    <row r="37" spans="1:75" ht="29.65" customHeight="1">
      <c r="A37" s="1">
        <v>23</v>
      </c>
      <c r="B37" s="182" t="s">
        <v>141</v>
      </c>
      <c r="C37" s="207" t="s">
        <v>39</v>
      </c>
      <c r="D37" s="206"/>
      <c r="E37" s="206"/>
      <c r="F37" s="206"/>
      <c r="G37" s="206" t="s">
        <v>39</v>
      </c>
      <c r="H37" s="206"/>
      <c r="I37" s="208"/>
      <c r="J37" s="207" t="s">
        <v>142</v>
      </c>
      <c r="K37" s="206">
        <v>10</v>
      </c>
      <c r="L37" s="208"/>
      <c r="M37" s="199"/>
      <c r="N37" s="200"/>
      <c r="O37" s="200"/>
      <c r="P37" s="200"/>
      <c r="Q37" s="201"/>
      <c r="R37" s="196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  <c r="AP37" s="197"/>
      <c r="AQ37" s="198"/>
      <c r="AR37" s="196"/>
      <c r="AS37" s="197"/>
      <c r="AT37" s="197"/>
      <c r="AU37" s="197"/>
      <c r="AV37" s="197"/>
      <c r="AW37" s="197"/>
      <c r="AX37" s="197"/>
      <c r="AY37" s="197"/>
      <c r="AZ37" s="197"/>
      <c r="BA37" s="197"/>
      <c r="BB37" s="197">
        <v>5</v>
      </c>
      <c r="BC37" s="197"/>
      <c r="BD37" s="197"/>
      <c r="BE37" s="197"/>
      <c r="BF37" s="197"/>
      <c r="BG37" s="198"/>
      <c r="BH37" s="205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</row>
    <row r="38" spans="1:75" ht="29.65" customHeight="1">
      <c r="A38" s="1">
        <v>24</v>
      </c>
      <c r="B38" s="3" t="s">
        <v>136</v>
      </c>
      <c r="C38" s="76"/>
      <c r="D38" s="73" t="s">
        <v>39</v>
      </c>
      <c r="E38" s="73"/>
      <c r="F38" s="73"/>
      <c r="G38" s="73" t="s">
        <v>39</v>
      </c>
      <c r="H38" s="73"/>
      <c r="I38" s="77"/>
      <c r="J38" s="76" t="s">
        <v>142</v>
      </c>
      <c r="K38" s="73">
        <v>5</v>
      </c>
      <c r="L38" s="77"/>
      <c r="M38" s="83"/>
      <c r="N38" s="72"/>
      <c r="O38" s="72"/>
      <c r="P38" s="72"/>
      <c r="Q38" s="84"/>
      <c r="R38" s="88">
        <v>3</v>
      </c>
      <c r="S38" s="71"/>
      <c r="T38" s="71"/>
      <c r="U38" s="71">
        <v>3</v>
      </c>
      <c r="V38" s="71"/>
      <c r="W38" s="71"/>
      <c r="X38" s="71"/>
      <c r="Y38" s="71"/>
      <c r="Z38" s="71"/>
      <c r="AA38" s="71"/>
      <c r="AB38" s="71"/>
      <c r="AC38" s="71">
        <v>2</v>
      </c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81"/>
      <c r="AR38" s="88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>
        <v>5</v>
      </c>
      <c r="BE38" s="71"/>
      <c r="BF38" s="71"/>
      <c r="BG38" s="81"/>
      <c r="BH38" s="89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</row>
    <row r="39" spans="1:75" ht="29.65" customHeight="1" thickBot="1">
      <c r="A39" s="1">
        <v>25</v>
      </c>
      <c r="B39" s="182" t="s">
        <v>143</v>
      </c>
      <c r="C39" s="211"/>
      <c r="D39" s="212" t="s">
        <v>39</v>
      </c>
      <c r="E39" s="212"/>
      <c r="F39" s="212"/>
      <c r="G39" s="212" t="s">
        <v>39</v>
      </c>
      <c r="H39" s="212"/>
      <c r="I39" s="213"/>
      <c r="J39" s="211" t="s">
        <v>142</v>
      </c>
      <c r="K39" s="212">
        <v>5</v>
      </c>
      <c r="L39" s="213"/>
      <c r="M39" s="214"/>
      <c r="N39" s="215"/>
      <c r="O39" s="215"/>
      <c r="P39" s="215"/>
      <c r="Q39" s="216"/>
      <c r="R39" s="217">
        <v>5</v>
      </c>
      <c r="S39" s="218"/>
      <c r="T39" s="218"/>
      <c r="U39" s="218">
        <v>1</v>
      </c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18"/>
      <c r="AM39" s="218"/>
      <c r="AN39" s="218"/>
      <c r="AO39" s="218"/>
      <c r="AP39" s="218"/>
      <c r="AQ39" s="219"/>
      <c r="AR39" s="217"/>
      <c r="AS39" s="218"/>
      <c r="AT39" s="218"/>
      <c r="AU39" s="218"/>
      <c r="AV39" s="218"/>
      <c r="AW39" s="218"/>
      <c r="AX39" s="218"/>
      <c r="AY39" s="218"/>
      <c r="AZ39" s="218"/>
      <c r="BA39" s="218"/>
      <c r="BB39" s="218"/>
      <c r="BC39" s="218"/>
      <c r="BD39" s="218"/>
      <c r="BE39" s="218"/>
      <c r="BF39" s="218"/>
      <c r="BG39" s="219"/>
      <c r="BH39" s="220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</row>
    <row r="40" spans="1:75" ht="21" thickBot="1">
      <c r="A40" s="1"/>
      <c r="B40" s="69" t="s">
        <v>144</v>
      </c>
      <c r="C40" s="78"/>
      <c r="D40" s="79"/>
      <c r="E40" s="79"/>
      <c r="F40" s="79"/>
      <c r="G40" s="79"/>
      <c r="H40" s="79"/>
      <c r="I40" s="80"/>
      <c r="J40" s="78"/>
      <c r="K40" s="79"/>
      <c r="L40" s="80"/>
      <c r="M40" s="85">
        <f>SUM(M15:M39)</f>
        <v>0</v>
      </c>
      <c r="N40" s="86">
        <f>SUM(N15:N39)</f>
        <v>0</v>
      </c>
      <c r="O40" s="86">
        <f>SUM(O15:O39)</f>
        <v>0</v>
      </c>
      <c r="P40" s="86">
        <f>SUM(P15:P39)</f>
        <v>0</v>
      </c>
      <c r="Q40" s="87">
        <f>SUM(Q15:Q39)</f>
        <v>0</v>
      </c>
      <c r="R40" s="85">
        <v>22</v>
      </c>
      <c r="S40" s="86">
        <f>SUM(S15:S39)</f>
        <v>0</v>
      </c>
      <c r="T40" s="86"/>
      <c r="U40" s="86">
        <f>SUM(U15:U39)</f>
        <v>18</v>
      </c>
      <c r="V40" s="86"/>
      <c r="W40" s="86"/>
      <c r="X40" s="86"/>
      <c r="Y40" s="86">
        <f>SUM(Y15:Y39)</f>
        <v>0</v>
      </c>
      <c r="Z40" s="86"/>
      <c r="AA40" s="86">
        <f>SUM(AA15:AA39)</f>
        <v>3</v>
      </c>
      <c r="AB40" s="86"/>
      <c r="AC40" s="86">
        <f>SUM(AC15:AC39)</f>
        <v>9</v>
      </c>
      <c r="AD40" s="86">
        <f>SUM(AD15:AD39)</f>
        <v>5</v>
      </c>
      <c r="AE40" s="86"/>
      <c r="AF40" s="86"/>
      <c r="AG40" s="86">
        <f>SUM(AG15:AG39)</f>
        <v>0</v>
      </c>
      <c r="AH40" s="86">
        <f>SUM(AH15:AH39)</f>
        <v>0</v>
      </c>
      <c r="AI40" s="86"/>
      <c r="AJ40" s="86"/>
      <c r="AK40" s="86">
        <f>SUM(AK15:AK39)</f>
        <v>0</v>
      </c>
      <c r="AL40" s="86">
        <v>3</v>
      </c>
      <c r="AM40" s="86"/>
      <c r="AN40" s="86"/>
      <c r="AO40" s="86">
        <f>SUM(AO15:AO39)</f>
        <v>0</v>
      </c>
      <c r="AP40" s="86">
        <f>SUM(AP15:AP39)</f>
        <v>0</v>
      </c>
      <c r="AQ40" s="87"/>
      <c r="AR40" s="85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6"/>
      <c r="BD40" s="86"/>
      <c r="BE40" s="86"/>
      <c r="BF40" s="86"/>
      <c r="BG40" s="87"/>
      <c r="BH40" s="90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</row>
    <row r="41" spans="1:75">
      <c r="A41" s="8"/>
      <c r="B41" s="68" t="s">
        <v>145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62"/>
      <c r="N41" s="63"/>
      <c r="O41" s="64"/>
      <c r="P41" s="63"/>
      <c r="Q41" s="65"/>
      <c r="R41" s="60"/>
      <c r="S41" s="60"/>
      <c r="T41" s="60"/>
      <c r="U41" s="60"/>
      <c r="V41" s="60"/>
      <c r="W41" s="60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6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</row>
    <row r="42" spans="1:75">
      <c r="A42" s="8"/>
      <c r="B42" s="249" t="s">
        <v>146</v>
      </c>
      <c r="C42" s="250"/>
      <c r="D42" s="250"/>
      <c r="E42" s="250"/>
      <c r="F42" s="250"/>
      <c r="G42" s="250"/>
      <c r="H42" s="250"/>
      <c r="I42" s="250"/>
      <c r="J42" s="250"/>
      <c r="K42" s="250"/>
      <c r="L42" s="250"/>
      <c r="M42" s="251"/>
      <c r="N42" s="251"/>
      <c r="O42" s="251"/>
      <c r="P42" s="251"/>
      <c r="Q42" s="252"/>
      <c r="R42" s="12" t="s">
        <v>147</v>
      </c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5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</row>
    <row r="43" spans="1:75">
      <c r="A43" s="8"/>
      <c r="B43" s="249" t="s">
        <v>148</v>
      </c>
      <c r="C43" s="250"/>
      <c r="D43" s="250"/>
      <c r="E43" s="250"/>
      <c r="F43" s="250"/>
      <c r="G43" s="250"/>
      <c r="H43" s="250"/>
      <c r="I43" s="250"/>
      <c r="J43" s="250"/>
      <c r="K43" s="250"/>
      <c r="L43" s="250"/>
      <c r="M43" s="251"/>
      <c r="N43" s="251"/>
      <c r="O43" s="251"/>
      <c r="P43" s="251"/>
      <c r="Q43" s="252"/>
      <c r="R43" s="12" t="s">
        <v>149</v>
      </c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5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</row>
    <row r="44" spans="1:75">
      <c r="A44" s="8"/>
      <c r="B44" s="16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0"/>
      <c r="N44" s="10"/>
      <c r="O44" s="10"/>
      <c r="P44" s="10"/>
      <c r="Q44" s="11"/>
      <c r="R44" s="12" t="s">
        <v>150</v>
      </c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5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</row>
    <row r="45" spans="1:75">
      <c r="A45" s="1"/>
      <c r="Q45" s="2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</row>
    <row r="46" spans="1:75">
      <c r="A46" s="1"/>
      <c r="Q46" s="2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</row>
    <row r="47" spans="1:75">
      <c r="A47" s="1"/>
      <c r="Q47" s="2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</row>
    <row r="48" spans="1: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2"/>
      <c r="N48" s="2"/>
      <c r="O48" s="2"/>
      <c r="P48" s="2"/>
      <c r="Q48" s="2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</row>
    <row r="49" spans="1:7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2"/>
      <c r="N49" s="2"/>
      <c r="O49" s="2"/>
      <c r="P49" s="2"/>
      <c r="Q49" s="2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</row>
    <row r="50" spans="1:7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2"/>
      <c r="N50" s="2"/>
      <c r="O50" s="2"/>
      <c r="P50" s="2"/>
      <c r="Q50" s="2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</row>
    <row r="51" spans="1:7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2"/>
      <c r="N51" s="2"/>
      <c r="O51" s="2"/>
      <c r="P51" s="2"/>
      <c r="Q51" s="2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</row>
    <row r="52" spans="1:7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2"/>
      <c r="N52" s="2"/>
      <c r="O52" s="2"/>
      <c r="P52" s="2"/>
      <c r="Q52" s="2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</row>
    <row r="53" spans="1:7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2"/>
      <c r="N53" s="2"/>
      <c r="O53" s="2"/>
      <c r="P53" s="2"/>
      <c r="Q53" s="2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</row>
    <row r="54" spans="1:7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2"/>
      <c r="N54" s="2"/>
      <c r="O54" s="2"/>
      <c r="P54" s="2"/>
      <c r="Q54" s="2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</row>
    <row r="55" spans="1:7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2"/>
      <c r="N55" s="2"/>
      <c r="O55" s="2"/>
      <c r="P55" s="2"/>
      <c r="Q55" s="2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</row>
    <row r="56" spans="1:7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2"/>
      <c r="N56" s="2"/>
      <c r="O56" s="2"/>
      <c r="P56" s="2"/>
      <c r="Q56" s="2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</row>
    <row r="57" spans="1:7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2"/>
      <c r="N57" s="2"/>
      <c r="O57" s="2"/>
      <c r="P57" s="2"/>
      <c r="Q57" s="2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</row>
    <row r="58" spans="1:7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2"/>
      <c r="N58" s="2"/>
      <c r="O58" s="2"/>
      <c r="P58" s="2"/>
      <c r="Q58" s="2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</row>
    <row r="59" spans="1:7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2"/>
      <c r="N59" s="2"/>
      <c r="O59" s="2"/>
      <c r="P59" s="2"/>
      <c r="Q59" s="2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</row>
    <row r="60" spans="1:7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2"/>
      <c r="N60" s="2"/>
      <c r="O60" s="2"/>
      <c r="P60" s="2"/>
      <c r="Q60" s="2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</row>
    <row r="61" spans="1:7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2"/>
      <c r="N61" s="2"/>
      <c r="O61" s="2"/>
      <c r="P61" s="2"/>
      <c r="Q61" s="2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</row>
    <row r="62" spans="1:7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2"/>
      <c r="N62" s="2"/>
      <c r="O62" s="2"/>
      <c r="P62" s="2"/>
      <c r="Q62" s="2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</row>
    <row r="63" spans="1:7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2"/>
      <c r="N63" s="2"/>
      <c r="O63" s="2"/>
      <c r="P63" s="2"/>
      <c r="Q63" s="2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</row>
    <row r="64" spans="1:7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2"/>
      <c r="N64" s="2"/>
      <c r="O64" s="2"/>
      <c r="P64" s="2"/>
      <c r="Q64" s="2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</row>
    <row r="65" spans="1:7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2"/>
      <c r="N65" s="2"/>
      <c r="O65" s="2"/>
      <c r="P65" s="2"/>
      <c r="Q65" s="2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</row>
    <row r="66" spans="1:7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2"/>
      <c r="N66" s="2"/>
      <c r="O66" s="2"/>
      <c r="P66" s="2"/>
      <c r="Q66" s="2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</row>
    <row r="67" spans="1:7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2"/>
      <c r="N67" s="2"/>
      <c r="O67" s="2"/>
      <c r="P67" s="2"/>
      <c r="Q67" s="2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</row>
    <row r="68" spans="1:7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2"/>
      <c r="N68" s="2"/>
      <c r="O68" s="2"/>
      <c r="P68" s="2"/>
      <c r="Q68" s="2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</row>
    <row r="69" spans="1:7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2"/>
      <c r="N69" s="2"/>
      <c r="O69" s="2"/>
      <c r="P69" s="2"/>
      <c r="Q69" s="2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</row>
    <row r="70" spans="1:7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2"/>
      <c r="N70" s="2"/>
      <c r="O70" s="2"/>
      <c r="P70" s="2"/>
      <c r="Q70" s="2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</row>
    <row r="71" spans="1: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2"/>
      <c r="N71" s="2"/>
      <c r="O71" s="2"/>
      <c r="P71" s="2"/>
      <c r="Q71" s="2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</row>
    <row r="72" spans="1:7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2"/>
      <c r="N72" s="2"/>
      <c r="O72" s="2"/>
      <c r="P72" s="2"/>
      <c r="Q72" s="2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</row>
    <row r="73" spans="1:7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2"/>
      <c r="N73" s="2"/>
      <c r="O73" s="2"/>
      <c r="P73" s="2"/>
      <c r="Q73" s="2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</row>
    <row r="74" spans="1:7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2"/>
      <c r="N74" s="2"/>
      <c r="O74" s="2"/>
      <c r="P74" s="2"/>
      <c r="Q74" s="2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</row>
    <row r="75" spans="1:7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2"/>
      <c r="N75" s="2"/>
      <c r="O75" s="2"/>
      <c r="P75" s="2"/>
      <c r="Q75" s="2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</row>
    <row r="76" spans="1:7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2"/>
      <c r="N76" s="2"/>
      <c r="O76" s="2"/>
      <c r="P76" s="2"/>
      <c r="Q76" s="2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</row>
    <row r="77" spans="1:7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"/>
      <c r="N77" s="2"/>
      <c r="O77" s="2"/>
      <c r="P77" s="2"/>
      <c r="Q77" s="2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</row>
    <row r="78" spans="1:7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2"/>
      <c r="N78" s="2"/>
      <c r="O78" s="2"/>
      <c r="P78" s="2"/>
      <c r="Q78" s="2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</row>
    <row r="79" spans="1:7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2"/>
      <c r="N79" s="2"/>
      <c r="O79" s="2"/>
      <c r="P79" s="2"/>
      <c r="Q79" s="2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</row>
    <row r="80" spans="1:7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2"/>
      <c r="N80" s="2"/>
      <c r="O80" s="2"/>
      <c r="P80" s="2"/>
      <c r="Q80" s="2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</row>
    <row r="81" spans="1:7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2"/>
      <c r="N81" s="2"/>
      <c r="O81" s="2"/>
      <c r="P81" s="2"/>
      <c r="Q81" s="2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</row>
    <row r="82" spans="1:7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"/>
      <c r="N82" s="2"/>
      <c r="O82" s="2"/>
      <c r="P82" s="2"/>
      <c r="Q82" s="2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</row>
    <row r="83" spans="1:7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2"/>
      <c r="N83" s="2"/>
      <c r="O83" s="2"/>
      <c r="P83" s="2"/>
      <c r="Q83" s="2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</row>
    <row r="84" spans="1:7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2"/>
      <c r="N84" s="2"/>
      <c r="O84" s="2"/>
      <c r="P84" s="2"/>
      <c r="Q84" s="2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</row>
    <row r="85" spans="1:7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2"/>
      <c r="N85" s="2"/>
      <c r="O85" s="2"/>
      <c r="P85" s="2"/>
      <c r="Q85" s="2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</row>
    <row r="86" spans="1:7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2"/>
      <c r="N86" s="2"/>
      <c r="O86" s="2"/>
      <c r="P86" s="2"/>
      <c r="Q86" s="2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</row>
    <row r="87" spans="1:7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2"/>
      <c r="N87" s="2"/>
      <c r="O87" s="2"/>
      <c r="P87" s="2"/>
      <c r="Q87" s="2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</row>
    <row r="88" spans="1:7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2"/>
      <c r="N88" s="2"/>
      <c r="O88" s="2"/>
      <c r="P88" s="2"/>
      <c r="Q88" s="2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</row>
    <row r="89" spans="1:7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"/>
      <c r="N89" s="2"/>
      <c r="O89" s="2"/>
      <c r="P89" s="2"/>
      <c r="Q89" s="2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</row>
    <row r="90" spans="1:7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"/>
      <c r="N90" s="2"/>
      <c r="O90" s="2"/>
      <c r="P90" s="2"/>
      <c r="Q90" s="2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</row>
    <row r="91" spans="1:7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"/>
      <c r="N91" s="2"/>
      <c r="O91" s="2"/>
      <c r="P91" s="2"/>
      <c r="Q91" s="2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</row>
    <row r="92" spans="1:7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"/>
      <c r="N92" s="2"/>
      <c r="O92" s="2"/>
      <c r="P92" s="2"/>
      <c r="Q92" s="2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</row>
    <row r="93" spans="1:7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"/>
      <c r="N93" s="2"/>
      <c r="O93" s="2"/>
      <c r="P93" s="2"/>
      <c r="Q93" s="2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</row>
    <row r="94" spans="1:7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"/>
      <c r="N94" s="2"/>
      <c r="O94" s="2"/>
      <c r="P94" s="2"/>
      <c r="Q94" s="2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</row>
    <row r="95" spans="1:7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"/>
      <c r="N95" s="2"/>
      <c r="O95" s="2"/>
      <c r="P95" s="2"/>
      <c r="Q95" s="2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</row>
    <row r="96" spans="1:7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"/>
      <c r="N96" s="2"/>
      <c r="O96" s="2"/>
      <c r="P96" s="2"/>
      <c r="Q96" s="2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</row>
    <row r="97" spans="1:7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"/>
      <c r="N97" s="2"/>
      <c r="O97" s="2"/>
      <c r="P97" s="2"/>
      <c r="Q97" s="2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</row>
    <row r="98" spans="1:7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2"/>
      <c r="N98" s="2"/>
      <c r="O98" s="2"/>
      <c r="P98" s="2"/>
      <c r="Q98" s="2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</row>
  </sheetData>
  <mergeCells count="8">
    <mergeCell ref="C11:F11"/>
    <mergeCell ref="C12:F12"/>
    <mergeCell ref="C6:F6"/>
    <mergeCell ref="C7:F7"/>
    <mergeCell ref="AP7:AT8"/>
    <mergeCell ref="C8:F8"/>
    <mergeCell ref="C9:F9"/>
    <mergeCell ref="C10:F10"/>
  </mergeCells>
  <printOptions horizontalCentered="1" gridLines="1"/>
  <pageMargins left="0.17" right="0.16" top="0.42" bottom="0.17" header="0.17" footer="0.17"/>
  <pageSetup scale="4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B98"/>
  <sheetViews>
    <sheetView zoomScale="60" zoomScaleNormal="60" workbookViewId="0">
      <pane xSplit="17" ySplit="14" topLeftCell="R30" activePane="bottomRight" state="frozen"/>
      <selection pane="bottomRight" activeCell="B37" sqref="B37"/>
      <selection pane="bottomLeft" activeCell="T16" sqref="T16"/>
      <selection pane="topRight" activeCell="T16" sqref="T16"/>
    </sheetView>
  </sheetViews>
  <sheetFormatPr defaultRowHeight="20.25"/>
  <cols>
    <col min="1" max="1" width="4.5703125" style="3" customWidth="1"/>
    <col min="2" max="2" width="40.7109375" style="3" customWidth="1"/>
    <col min="3" max="12" width="4.7109375" style="3" customWidth="1"/>
    <col min="13" max="13" width="6.5703125" style="5" bestFit="1" customWidth="1"/>
    <col min="14" max="17" width="4.7109375" style="5" customWidth="1"/>
    <col min="18" max="60" width="4.7109375" style="3" customWidth="1"/>
    <col min="61" max="78" width="3.28515625" style="3" customWidth="1"/>
    <col min="79" max="79" width="3" style="3" customWidth="1"/>
    <col min="80" max="80" width="3.28515625" style="3" customWidth="1"/>
    <col min="81" max="271" width="9.140625" style="3"/>
    <col min="272" max="272" width="20" style="3" customWidth="1"/>
    <col min="273" max="273" width="42.5703125" style="3" customWidth="1"/>
    <col min="274" max="281" width="3.28515625" style="3" customWidth="1"/>
    <col min="282" max="282" width="4.7109375" style="3" customWidth="1"/>
    <col min="283" max="290" width="3.28515625" style="3" customWidth="1"/>
    <col min="291" max="291" width="4.140625" style="3" customWidth="1"/>
    <col min="292" max="324" width="3.28515625" style="3" customWidth="1"/>
    <col min="325" max="325" width="39.7109375" style="3" customWidth="1"/>
    <col min="326" max="527" width="9.140625" style="3"/>
    <col min="528" max="528" width="20" style="3" customWidth="1"/>
    <col min="529" max="529" width="42.5703125" style="3" customWidth="1"/>
    <col min="530" max="537" width="3.28515625" style="3" customWidth="1"/>
    <col min="538" max="538" width="4.7109375" style="3" customWidth="1"/>
    <col min="539" max="546" width="3.28515625" style="3" customWidth="1"/>
    <col min="547" max="547" width="4.140625" style="3" customWidth="1"/>
    <col min="548" max="580" width="3.28515625" style="3" customWidth="1"/>
    <col min="581" max="581" width="39.7109375" style="3" customWidth="1"/>
    <col min="582" max="783" width="9.140625" style="3"/>
    <col min="784" max="784" width="20" style="3" customWidth="1"/>
    <col min="785" max="785" width="42.5703125" style="3" customWidth="1"/>
    <col min="786" max="793" width="3.28515625" style="3" customWidth="1"/>
    <col min="794" max="794" width="4.7109375" style="3" customWidth="1"/>
    <col min="795" max="802" width="3.28515625" style="3" customWidth="1"/>
    <col min="803" max="803" width="4.140625" style="3" customWidth="1"/>
    <col min="804" max="836" width="3.28515625" style="3" customWidth="1"/>
    <col min="837" max="837" width="39.7109375" style="3" customWidth="1"/>
    <col min="838" max="1039" width="9.140625" style="3"/>
    <col min="1040" max="1040" width="20" style="3" customWidth="1"/>
    <col min="1041" max="1041" width="42.5703125" style="3" customWidth="1"/>
    <col min="1042" max="1049" width="3.28515625" style="3" customWidth="1"/>
    <col min="1050" max="1050" width="4.7109375" style="3" customWidth="1"/>
    <col min="1051" max="1058" width="3.28515625" style="3" customWidth="1"/>
    <col min="1059" max="1059" width="4.140625" style="3" customWidth="1"/>
    <col min="1060" max="1092" width="3.28515625" style="3" customWidth="1"/>
    <col min="1093" max="1093" width="39.7109375" style="3" customWidth="1"/>
    <col min="1094" max="1295" width="9.140625" style="3"/>
    <col min="1296" max="1296" width="20" style="3" customWidth="1"/>
    <col min="1297" max="1297" width="42.5703125" style="3" customWidth="1"/>
    <col min="1298" max="1305" width="3.28515625" style="3" customWidth="1"/>
    <col min="1306" max="1306" width="4.7109375" style="3" customWidth="1"/>
    <col min="1307" max="1314" width="3.28515625" style="3" customWidth="1"/>
    <col min="1315" max="1315" width="4.140625" style="3" customWidth="1"/>
    <col min="1316" max="1348" width="3.28515625" style="3" customWidth="1"/>
    <col min="1349" max="1349" width="39.7109375" style="3" customWidth="1"/>
    <col min="1350" max="1551" width="9.140625" style="3"/>
    <col min="1552" max="1552" width="20" style="3" customWidth="1"/>
    <col min="1553" max="1553" width="42.5703125" style="3" customWidth="1"/>
    <col min="1554" max="1561" width="3.28515625" style="3" customWidth="1"/>
    <col min="1562" max="1562" width="4.7109375" style="3" customWidth="1"/>
    <col min="1563" max="1570" width="3.28515625" style="3" customWidth="1"/>
    <col min="1571" max="1571" width="4.140625" style="3" customWidth="1"/>
    <col min="1572" max="1604" width="3.28515625" style="3" customWidth="1"/>
    <col min="1605" max="1605" width="39.7109375" style="3" customWidth="1"/>
    <col min="1606" max="1807" width="9.140625" style="3"/>
    <col min="1808" max="1808" width="20" style="3" customWidth="1"/>
    <col min="1809" max="1809" width="42.5703125" style="3" customWidth="1"/>
    <col min="1810" max="1817" width="3.28515625" style="3" customWidth="1"/>
    <col min="1818" max="1818" width="4.7109375" style="3" customWidth="1"/>
    <col min="1819" max="1826" width="3.28515625" style="3" customWidth="1"/>
    <col min="1827" max="1827" width="4.140625" style="3" customWidth="1"/>
    <col min="1828" max="1860" width="3.28515625" style="3" customWidth="1"/>
    <col min="1861" max="1861" width="39.7109375" style="3" customWidth="1"/>
    <col min="1862" max="2063" width="9.140625" style="3"/>
    <col min="2064" max="2064" width="20" style="3" customWidth="1"/>
    <col min="2065" max="2065" width="42.5703125" style="3" customWidth="1"/>
    <col min="2066" max="2073" width="3.28515625" style="3" customWidth="1"/>
    <col min="2074" max="2074" width="4.7109375" style="3" customWidth="1"/>
    <col min="2075" max="2082" width="3.28515625" style="3" customWidth="1"/>
    <col min="2083" max="2083" width="4.140625" style="3" customWidth="1"/>
    <col min="2084" max="2116" width="3.28515625" style="3" customWidth="1"/>
    <col min="2117" max="2117" width="39.7109375" style="3" customWidth="1"/>
    <col min="2118" max="2319" width="9.140625" style="3"/>
    <col min="2320" max="2320" width="20" style="3" customWidth="1"/>
    <col min="2321" max="2321" width="42.5703125" style="3" customWidth="1"/>
    <col min="2322" max="2329" width="3.28515625" style="3" customWidth="1"/>
    <col min="2330" max="2330" width="4.7109375" style="3" customWidth="1"/>
    <col min="2331" max="2338" width="3.28515625" style="3" customWidth="1"/>
    <col min="2339" max="2339" width="4.140625" style="3" customWidth="1"/>
    <col min="2340" max="2372" width="3.28515625" style="3" customWidth="1"/>
    <col min="2373" max="2373" width="39.7109375" style="3" customWidth="1"/>
    <col min="2374" max="2575" width="9.140625" style="3"/>
    <col min="2576" max="2576" width="20" style="3" customWidth="1"/>
    <col min="2577" max="2577" width="42.5703125" style="3" customWidth="1"/>
    <col min="2578" max="2585" width="3.28515625" style="3" customWidth="1"/>
    <col min="2586" max="2586" width="4.7109375" style="3" customWidth="1"/>
    <col min="2587" max="2594" width="3.28515625" style="3" customWidth="1"/>
    <col min="2595" max="2595" width="4.140625" style="3" customWidth="1"/>
    <col min="2596" max="2628" width="3.28515625" style="3" customWidth="1"/>
    <col min="2629" max="2629" width="39.7109375" style="3" customWidth="1"/>
    <col min="2630" max="2831" width="9.140625" style="3"/>
    <col min="2832" max="2832" width="20" style="3" customWidth="1"/>
    <col min="2833" max="2833" width="42.5703125" style="3" customWidth="1"/>
    <col min="2834" max="2841" width="3.28515625" style="3" customWidth="1"/>
    <col min="2842" max="2842" width="4.7109375" style="3" customWidth="1"/>
    <col min="2843" max="2850" width="3.28515625" style="3" customWidth="1"/>
    <col min="2851" max="2851" width="4.140625" style="3" customWidth="1"/>
    <col min="2852" max="2884" width="3.28515625" style="3" customWidth="1"/>
    <col min="2885" max="2885" width="39.7109375" style="3" customWidth="1"/>
    <col min="2886" max="3087" width="9.140625" style="3"/>
    <col min="3088" max="3088" width="20" style="3" customWidth="1"/>
    <col min="3089" max="3089" width="42.5703125" style="3" customWidth="1"/>
    <col min="3090" max="3097" width="3.28515625" style="3" customWidth="1"/>
    <col min="3098" max="3098" width="4.7109375" style="3" customWidth="1"/>
    <col min="3099" max="3106" width="3.28515625" style="3" customWidth="1"/>
    <col min="3107" max="3107" width="4.140625" style="3" customWidth="1"/>
    <col min="3108" max="3140" width="3.28515625" style="3" customWidth="1"/>
    <col min="3141" max="3141" width="39.7109375" style="3" customWidth="1"/>
    <col min="3142" max="3343" width="9.140625" style="3"/>
    <col min="3344" max="3344" width="20" style="3" customWidth="1"/>
    <col min="3345" max="3345" width="42.5703125" style="3" customWidth="1"/>
    <col min="3346" max="3353" width="3.28515625" style="3" customWidth="1"/>
    <col min="3354" max="3354" width="4.7109375" style="3" customWidth="1"/>
    <col min="3355" max="3362" width="3.28515625" style="3" customWidth="1"/>
    <col min="3363" max="3363" width="4.140625" style="3" customWidth="1"/>
    <col min="3364" max="3396" width="3.28515625" style="3" customWidth="1"/>
    <col min="3397" max="3397" width="39.7109375" style="3" customWidth="1"/>
    <col min="3398" max="3599" width="9.140625" style="3"/>
    <col min="3600" max="3600" width="20" style="3" customWidth="1"/>
    <col min="3601" max="3601" width="42.5703125" style="3" customWidth="1"/>
    <col min="3602" max="3609" width="3.28515625" style="3" customWidth="1"/>
    <col min="3610" max="3610" width="4.7109375" style="3" customWidth="1"/>
    <col min="3611" max="3618" width="3.28515625" style="3" customWidth="1"/>
    <col min="3619" max="3619" width="4.140625" style="3" customWidth="1"/>
    <col min="3620" max="3652" width="3.28515625" style="3" customWidth="1"/>
    <col min="3653" max="3653" width="39.7109375" style="3" customWidth="1"/>
    <col min="3654" max="3855" width="9.140625" style="3"/>
    <col min="3856" max="3856" width="20" style="3" customWidth="1"/>
    <col min="3857" max="3857" width="42.5703125" style="3" customWidth="1"/>
    <col min="3858" max="3865" width="3.28515625" style="3" customWidth="1"/>
    <col min="3866" max="3866" width="4.7109375" style="3" customWidth="1"/>
    <col min="3867" max="3874" width="3.28515625" style="3" customWidth="1"/>
    <col min="3875" max="3875" width="4.140625" style="3" customWidth="1"/>
    <col min="3876" max="3908" width="3.28515625" style="3" customWidth="1"/>
    <col min="3909" max="3909" width="39.7109375" style="3" customWidth="1"/>
    <col min="3910" max="4111" width="9.140625" style="3"/>
    <col min="4112" max="4112" width="20" style="3" customWidth="1"/>
    <col min="4113" max="4113" width="42.5703125" style="3" customWidth="1"/>
    <col min="4114" max="4121" width="3.28515625" style="3" customWidth="1"/>
    <col min="4122" max="4122" width="4.7109375" style="3" customWidth="1"/>
    <col min="4123" max="4130" width="3.28515625" style="3" customWidth="1"/>
    <col min="4131" max="4131" width="4.140625" style="3" customWidth="1"/>
    <col min="4132" max="4164" width="3.28515625" style="3" customWidth="1"/>
    <col min="4165" max="4165" width="39.7109375" style="3" customWidth="1"/>
    <col min="4166" max="4367" width="9.140625" style="3"/>
    <col min="4368" max="4368" width="20" style="3" customWidth="1"/>
    <col min="4369" max="4369" width="42.5703125" style="3" customWidth="1"/>
    <col min="4370" max="4377" width="3.28515625" style="3" customWidth="1"/>
    <col min="4378" max="4378" width="4.7109375" style="3" customWidth="1"/>
    <col min="4379" max="4386" width="3.28515625" style="3" customWidth="1"/>
    <col min="4387" max="4387" width="4.140625" style="3" customWidth="1"/>
    <col min="4388" max="4420" width="3.28515625" style="3" customWidth="1"/>
    <col min="4421" max="4421" width="39.7109375" style="3" customWidth="1"/>
    <col min="4422" max="4623" width="9.140625" style="3"/>
    <col min="4624" max="4624" width="20" style="3" customWidth="1"/>
    <col min="4625" max="4625" width="42.5703125" style="3" customWidth="1"/>
    <col min="4626" max="4633" width="3.28515625" style="3" customWidth="1"/>
    <col min="4634" max="4634" width="4.7109375" style="3" customWidth="1"/>
    <col min="4635" max="4642" width="3.28515625" style="3" customWidth="1"/>
    <col min="4643" max="4643" width="4.140625" style="3" customWidth="1"/>
    <col min="4644" max="4676" width="3.28515625" style="3" customWidth="1"/>
    <col min="4677" max="4677" width="39.7109375" style="3" customWidth="1"/>
    <col min="4678" max="4879" width="9.140625" style="3"/>
    <col min="4880" max="4880" width="20" style="3" customWidth="1"/>
    <col min="4881" max="4881" width="42.5703125" style="3" customWidth="1"/>
    <col min="4882" max="4889" width="3.28515625" style="3" customWidth="1"/>
    <col min="4890" max="4890" width="4.7109375" style="3" customWidth="1"/>
    <col min="4891" max="4898" width="3.28515625" style="3" customWidth="1"/>
    <col min="4899" max="4899" width="4.140625" style="3" customWidth="1"/>
    <col min="4900" max="4932" width="3.28515625" style="3" customWidth="1"/>
    <col min="4933" max="4933" width="39.7109375" style="3" customWidth="1"/>
    <col min="4934" max="5135" width="9.140625" style="3"/>
    <col min="5136" max="5136" width="20" style="3" customWidth="1"/>
    <col min="5137" max="5137" width="42.5703125" style="3" customWidth="1"/>
    <col min="5138" max="5145" width="3.28515625" style="3" customWidth="1"/>
    <col min="5146" max="5146" width="4.7109375" style="3" customWidth="1"/>
    <col min="5147" max="5154" width="3.28515625" style="3" customWidth="1"/>
    <col min="5155" max="5155" width="4.140625" style="3" customWidth="1"/>
    <col min="5156" max="5188" width="3.28515625" style="3" customWidth="1"/>
    <col min="5189" max="5189" width="39.7109375" style="3" customWidth="1"/>
    <col min="5190" max="5391" width="9.140625" style="3"/>
    <col min="5392" max="5392" width="20" style="3" customWidth="1"/>
    <col min="5393" max="5393" width="42.5703125" style="3" customWidth="1"/>
    <col min="5394" max="5401" width="3.28515625" style="3" customWidth="1"/>
    <col min="5402" max="5402" width="4.7109375" style="3" customWidth="1"/>
    <col min="5403" max="5410" width="3.28515625" style="3" customWidth="1"/>
    <col min="5411" max="5411" width="4.140625" style="3" customWidth="1"/>
    <col min="5412" max="5444" width="3.28515625" style="3" customWidth="1"/>
    <col min="5445" max="5445" width="39.7109375" style="3" customWidth="1"/>
    <col min="5446" max="5647" width="9.140625" style="3"/>
    <col min="5648" max="5648" width="20" style="3" customWidth="1"/>
    <col min="5649" max="5649" width="42.5703125" style="3" customWidth="1"/>
    <col min="5650" max="5657" width="3.28515625" style="3" customWidth="1"/>
    <col min="5658" max="5658" width="4.7109375" style="3" customWidth="1"/>
    <col min="5659" max="5666" width="3.28515625" style="3" customWidth="1"/>
    <col min="5667" max="5667" width="4.140625" style="3" customWidth="1"/>
    <col min="5668" max="5700" width="3.28515625" style="3" customWidth="1"/>
    <col min="5701" max="5701" width="39.7109375" style="3" customWidth="1"/>
    <col min="5702" max="5903" width="9.140625" style="3"/>
    <col min="5904" max="5904" width="20" style="3" customWidth="1"/>
    <col min="5905" max="5905" width="42.5703125" style="3" customWidth="1"/>
    <col min="5906" max="5913" width="3.28515625" style="3" customWidth="1"/>
    <col min="5914" max="5914" width="4.7109375" style="3" customWidth="1"/>
    <col min="5915" max="5922" width="3.28515625" style="3" customWidth="1"/>
    <col min="5923" max="5923" width="4.140625" style="3" customWidth="1"/>
    <col min="5924" max="5956" width="3.28515625" style="3" customWidth="1"/>
    <col min="5957" max="5957" width="39.7109375" style="3" customWidth="1"/>
    <col min="5958" max="6159" width="9.140625" style="3"/>
    <col min="6160" max="6160" width="20" style="3" customWidth="1"/>
    <col min="6161" max="6161" width="42.5703125" style="3" customWidth="1"/>
    <col min="6162" max="6169" width="3.28515625" style="3" customWidth="1"/>
    <col min="6170" max="6170" width="4.7109375" style="3" customWidth="1"/>
    <col min="6171" max="6178" width="3.28515625" style="3" customWidth="1"/>
    <col min="6179" max="6179" width="4.140625" style="3" customWidth="1"/>
    <col min="6180" max="6212" width="3.28515625" style="3" customWidth="1"/>
    <col min="6213" max="6213" width="39.7109375" style="3" customWidth="1"/>
    <col min="6214" max="6415" width="9.140625" style="3"/>
    <col min="6416" max="6416" width="20" style="3" customWidth="1"/>
    <col min="6417" max="6417" width="42.5703125" style="3" customWidth="1"/>
    <col min="6418" max="6425" width="3.28515625" style="3" customWidth="1"/>
    <col min="6426" max="6426" width="4.7109375" style="3" customWidth="1"/>
    <col min="6427" max="6434" width="3.28515625" style="3" customWidth="1"/>
    <col min="6435" max="6435" width="4.140625" style="3" customWidth="1"/>
    <col min="6436" max="6468" width="3.28515625" style="3" customWidth="1"/>
    <col min="6469" max="6469" width="39.7109375" style="3" customWidth="1"/>
    <col min="6470" max="6671" width="9.140625" style="3"/>
    <col min="6672" max="6672" width="20" style="3" customWidth="1"/>
    <col min="6673" max="6673" width="42.5703125" style="3" customWidth="1"/>
    <col min="6674" max="6681" width="3.28515625" style="3" customWidth="1"/>
    <col min="6682" max="6682" width="4.7109375" style="3" customWidth="1"/>
    <col min="6683" max="6690" width="3.28515625" style="3" customWidth="1"/>
    <col min="6691" max="6691" width="4.140625" style="3" customWidth="1"/>
    <col min="6692" max="6724" width="3.28515625" style="3" customWidth="1"/>
    <col min="6725" max="6725" width="39.7109375" style="3" customWidth="1"/>
    <col min="6726" max="6927" width="9.140625" style="3"/>
    <col min="6928" max="6928" width="20" style="3" customWidth="1"/>
    <col min="6929" max="6929" width="42.5703125" style="3" customWidth="1"/>
    <col min="6930" max="6937" width="3.28515625" style="3" customWidth="1"/>
    <col min="6938" max="6938" width="4.7109375" style="3" customWidth="1"/>
    <col min="6939" max="6946" width="3.28515625" style="3" customWidth="1"/>
    <col min="6947" max="6947" width="4.140625" style="3" customWidth="1"/>
    <col min="6948" max="6980" width="3.28515625" style="3" customWidth="1"/>
    <col min="6981" max="6981" width="39.7109375" style="3" customWidth="1"/>
    <col min="6982" max="7183" width="9.140625" style="3"/>
    <col min="7184" max="7184" width="20" style="3" customWidth="1"/>
    <col min="7185" max="7185" width="42.5703125" style="3" customWidth="1"/>
    <col min="7186" max="7193" width="3.28515625" style="3" customWidth="1"/>
    <col min="7194" max="7194" width="4.7109375" style="3" customWidth="1"/>
    <col min="7195" max="7202" width="3.28515625" style="3" customWidth="1"/>
    <col min="7203" max="7203" width="4.140625" style="3" customWidth="1"/>
    <col min="7204" max="7236" width="3.28515625" style="3" customWidth="1"/>
    <col min="7237" max="7237" width="39.7109375" style="3" customWidth="1"/>
    <col min="7238" max="7439" width="9.140625" style="3"/>
    <col min="7440" max="7440" width="20" style="3" customWidth="1"/>
    <col min="7441" max="7441" width="42.5703125" style="3" customWidth="1"/>
    <col min="7442" max="7449" width="3.28515625" style="3" customWidth="1"/>
    <col min="7450" max="7450" width="4.7109375" style="3" customWidth="1"/>
    <col min="7451" max="7458" width="3.28515625" style="3" customWidth="1"/>
    <col min="7459" max="7459" width="4.140625" style="3" customWidth="1"/>
    <col min="7460" max="7492" width="3.28515625" style="3" customWidth="1"/>
    <col min="7493" max="7493" width="39.7109375" style="3" customWidth="1"/>
    <col min="7494" max="7695" width="9.140625" style="3"/>
    <col min="7696" max="7696" width="20" style="3" customWidth="1"/>
    <col min="7697" max="7697" width="42.5703125" style="3" customWidth="1"/>
    <col min="7698" max="7705" width="3.28515625" style="3" customWidth="1"/>
    <col min="7706" max="7706" width="4.7109375" style="3" customWidth="1"/>
    <col min="7707" max="7714" width="3.28515625" style="3" customWidth="1"/>
    <col min="7715" max="7715" width="4.140625" style="3" customWidth="1"/>
    <col min="7716" max="7748" width="3.28515625" style="3" customWidth="1"/>
    <col min="7749" max="7749" width="39.7109375" style="3" customWidth="1"/>
    <col min="7750" max="7951" width="9.140625" style="3"/>
    <col min="7952" max="7952" width="20" style="3" customWidth="1"/>
    <col min="7953" max="7953" width="42.5703125" style="3" customWidth="1"/>
    <col min="7954" max="7961" width="3.28515625" style="3" customWidth="1"/>
    <col min="7962" max="7962" width="4.7109375" style="3" customWidth="1"/>
    <col min="7963" max="7970" width="3.28515625" style="3" customWidth="1"/>
    <col min="7971" max="7971" width="4.140625" style="3" customWidth="1"/>
    <col min="7972" max="8004" width="3.28515625" style="3" customWidth="1"/>
    <col min="8005" max="8005" width="39.7109375" style="3" customWidth="1"/>
    <col min="8006" max="8207" width="9.140625" style="3"/>
    <col min="8208" max="8208" width="20" style="3" customWidth="1"/>
    <col min="8209" max="8209" width="42.5703125" style="3" customWidth="1"/>
    <col min="8210" max="8217" width="3.28515625" style="3" customWidth="1"/>
    <col min="8218" max="8218" width="4.7109375" style="3" customWidth="1"/>
    <col min="8219" max="8226" width="3.28515625" style="3" customWidth="1"/>
    <col min="8227" max="8227" width="4.140625" style="3" customWidth="1"/>
    <col min="8228" max="8260" width="3.28515625" style="3" customWidth="1"/>
    <col min="8261" max="8261" width="39.7109375" style="3" customWidth="1"/>
    <col min="8262" max="8463" width="9.140625" style="3"/>
    <col min="8464" max="8464" width="20" style="3" customWidth="1"/>
    <col min="8465" max="8465" width="42.5703125" style="3" customWidth="1"/>
    <col min="8466" max="8473" width="3.28515625" style="3" customWidth="1"/>
    <col min="8474" max="8474" width="4.7109375" style="3" customWidth="1"/>
    <col min="8475" max="8482" width="3.28515625" style="3" customWidth="1"/>
    <col min="8483" max="8483" width="4.140625" style="3" customWidth="1"/>
    <col min="8484" max="8516" width="3.28515625" style="3" customWidth="1"/>
    <col min="8517" max="8517" width="39.7109375" style="3" customWidth="1"/>
    <col min="8518" max="8719" width="9.140625" style="3"/>
    <col min="8720" max="8720" width="20" style="3" customWidth="1"/>
    <col min="8721" max="8721" width="42.5703125" style="3" customWidth="1"/>
    <col min="8722" max="8729" width="3.28515625" style="3" customWidth="1"/>
    <col min="8730" max="8730" width="4.7109375" style="3" customWidth="1"/>
    <col min="8731" max="8738" width="3.28515625" style="3" customWidth="1"/>
    <col min="8739" max="8739" width="4.140625" style="3" customWidth="1"/>
    <col min="8740" max="8772" width="3.28515625" style="3" customWidth="1"/>
    <col min="8773" max="8773" width="39.7109375" style="3" customWidth="1"/>
    <col min="8774" max="8975" width="9.140625" style="3"/>
    <col min="8976" max="8976" width="20" style="3" customWidth="1"/>
    <col min="8977" max="8977" width="42.5703125" style="3" customWidth="1"/>
    <col min="8978" max="8985" width="3.28515625" style="3" customWidth="1"/>
    <col min="8986" max="8986" width="4.7109375" style="3" customWidth="1"/>
    <col min="8987" max="8994" width="3.28515625" style="3" customWidth="1"/>
    <col min="8995" max="8995" width="4.140625" style="3" customWidth="1"/>
    <col min="8996" max="9028" width="3.28515625" style="3" customWidth="1"/>
    <col min="9029" max="9029" width="39.7109375" style="3" customWidth="1"/>
    <col min="9030" max="9231" width="9.140625" style="3"/>
    <col min="9232" max="9232" width="20" style="3" customWidth="1"/>
    <col min="9233" max="9233" width="42.5703125" style="3" customWidth="1"/>
    <col min="9234" max="9241" width="3.28515625" style="3" customWidth="1"/>
    <col min="9242" max="9242" width="4.7109375" style="3" customWidth="1"/>
    <col min="9243" max="9250" width="3.28515625" style="3" customWidth="1"/>
    <col min="9251" max="9251" width="4.140625" style="3" customWidth="1"/>
    <col min="9252" max="9284" width="3.28515625" style="3" customWidth="1"/>
    <col min="9285" max="9285" width="39.7109375" style="3" customWidth="1"/>
    <col min="9286" max="9487" width="9.140625" style="3"/>
    <col min="9488" max="9488" width="20" style="3" customWidth="1"/>
    <col min="9489" max="9489" width="42.5703125" style="3" customWidth="1"/>
    <col min="9490" max="9497" width="3.28515625" style="3" customWidth="1"/>
    <col min="9498" max="9498" width="4.7109375" style="3" customWidth="1"/>
    <col min="9499" max="9506" width="3.28515625" style="3" customWidth="1"/>
    <col min="9507" max="9507" width="4.140625" style="3" customWidth="1"/>
    <col min="9508" max="9540" width="3.28515625" style="3" customWidth="1"/>
    <col min="9541" max="9541" width="39.7109375" style="3" customWidth="1"/>
    <col min="9542" max="9743" width="9.140625" style="3"/>
    <col min="9744" max="9744" width="20" style="3" customWidth="1"/>
    <col min="9745" max="9745" width="42.5703125" style="3" customWidth="1"/>
    <col min="9746" max="9753" width="3.28515625" style="3" customWidth="1"/>
    <col min="9754" max="9754" width="4.7109375" style="3" customWidth="1"/>
    <col min="9755" max="9762" width="3.28515625" style="3" customWidth="1"/>
    <col min="9763" max="9763" width="4.140625" style="3" customWidth="1"/>
    <col min="9764" max="9796" width="3.28515625" style="3" customWidth="1"/>
    <col min="9797" max="9797" width="39.7109375" style="3" customWidth="1"/>
    <col min="9798" max="9999" width="9.140625" style="3"/>
    <col min="10000" max="10000" width="20" style="3" customWidth="1"/>
    <col min="10001" max="10001" width="42.5703125" style="3" customWidth="1"/>
    <col min="10002" max="10009" width="3.28515625" style="3" customWidth="1"/>
    <col min="10010" max="10010" width="4.7109375" style="3" customWidth="1"/>
    <col min="10011" max="10018" width="3.28515625" style="3" customWidth="1"/>
    <col min="10019" max="10019" width="4.140625" style="3" customWidth="1"/>
    <col min="10020" max="10052" width="3.28515625" style="3" customWidth="1"/>
    <col min="10053" max="10053" width="39.7109375" style="3" customWidth="1"/>
    <col min="10054" max="10255" width="9.140625" style="3"/>
    <col min="10256" max="10256" width="20" style="3" customWidth="1"/>
    <col min="10257" max="10257" width="42.5703125" style="3" customWidth="1"/>
    <col min="10258" max="10265" width="3.28515625" style="3" customWidth="1"/>
    <col min="10266" max="10266" width="4.7109375" style="3" customWidth="1"/>
    <col min="10267" max="10274" width="3.28515625" style="3" customWidth="1"/>
    <col min="10275" max="10275" width="4.140625" style="3" customWidth="1"/>
    <col min="10276" max="10308" width="3.28515625" style="3" customWidth="1"/>
    <col min="10309" max="10309" width="39.7109375" style="3" customWidth="1"/>
    <col min="10310" max="10511" width="9.140625" style="3"/>
    <col min="10512" max="10512" width="20" style="3" customWidth="1"/>
    <col min="10513" max="10513" width="42.5703125" style="3" customWidth="1"/>
    <col min="10514" max="10521" width="3.28515625" style="3" customWidth="1"/>
    <col min="10522" max="10522" width="4.7109375" style="3" customWidth="1"/>
    <col min="10523" max="10530" width="3.28515625" style="3" customWidth="1"/>
    <col min="10531" max="10531" width="4.140625" style="3" customWidth="1"/>
    <col min="10532" max="10564" width="3.28515625" style="3" customWidth="1"/>
    <col min="10565" max="10565" width="39.7109375" style="3" customWidth="1"/>
    <col min="10566" max="10767" width="9.140625" style="3"/>
    <col min="10768" max="10768" width="20" style="3" customWidth="1"/>
    <col min="10769" max="10769" width="42.5703125" style="3" customWidth="1"/>
    <col min="10770" max="10777" width="3.28515625" style="3" customWidth="1"/>
    <col min="10778" max="10778" width="4.7109375" style="3" customWidth="1"/>
    <col min="10779" max="10786" width="3.28515625" style="3" customWidth="1"/>
    <col min="10787" max="10787" width="4.140625" style="3" customWidth="1"/>
    <col min="10788" max="10820" width="3.28515625" style="3" customWidth="1"/>
    <col min="10821" max="10821" width="39.7109375" style="3" customWidth="1"/>
    <col min="10822" max="11023" width="9.140625" style="3"/>
    <col min="11024" max="11024" width="20" style="3" customWidth="1"/>
    <col min="11025" max="11025" width="42.5703125" style="3" customWidth="1"/>
    <col min="11026" max="11033" width="3.28515625" style="3" customWidth="1"/>
    <col min="11034" max="11034" width="4.7109375" style="3" customWidth="1"/>
    <col min="11035" max="11042" width="3.28515625" style="3" customWidth="1"/>
    <col min="11043" max="11043" width="4.140625" style="3" customWidth="1"/>
    <col min="11044" max="11076" width="3.28515625" style="3" customWidth="1"/>
    <col min="11077" max="11077" width="39.7109375" style="3" customWidth="1"/>
    <col min="11078" max="11279" width="9.140625" style="3"/>
    <col min="11280" max="11280" width="20" style="3" customWidth="1"/>
    <col min="11281" max="11281" width="42.5703125" style="3" customWidth="1"/>
    <col min="11282" max="11289" width="3.28515625" style="3" customWidth="1"/>
    <col min="11290" max="11290" width="4.7109375" style="3" customWidth="1"/>
    <col min="11291" max="11298" width="3.28515625" style="3" customWidth="1"/>
    <col min="11299" max="11299" width="4.140625" style="3" customWidth="1"/>
    <col min="11300" max="11332" width="3.28515625" style="3" customWidth="1"/>
    <col min="11333" max="11333" width="39.7109375" style="3" customWidth="1"/>
    <col min="11334" max="11535" width="9.140625" style="3"/>
    <col min="11536" max="11536" width="20" style="3" customWidth="1"/>
    <col min="11537" max="11537" width="42.5703125" style="3" customWidth="1"/>
    <col min="11538" max="11545" width="3.28515625" style="3" customWidth="1"/>
    <col min="11546" max="11546" width="4.7109375" style="3" customWidth="1"/>
    <col min="11547" max="11554" width="3.28515625" style="3" customWidth="1"/>
    <col min="11555" max="11555" width="4.140625" style="3" customWidth="1"/>
    <col min="11556" max="11588" width="3.28515625" style="3" customWidth="1"/>
    <col min="11589" max="11589" width="39.7109375" style="3" customWidth="1"/>
    <col min="11590" max="11791" width="9.140625" style="3"/>
    <col min="11792" max="11792" width="20" style="3" customWidth="1"/>
    <col min="11793" max="11793" width="42.5703125" style="3" customWidth="1"/>
    <col min="11794" max="11801" width="3.28515625" style="3" customWidth="1"/>
    <col min="11802" max="11802" width="4.7109375" style="3" customWidth="1"/>
    <col min="11803" max="11810" width="3.28515625" style="3" customWidth="1"/>
    <col min="11811" max="11811" width="4.140625" style="3" customWidth="1"/>
    <col min="11812" max="11844" width="3.28515625" style="3" customWidth="1"/>
    <col min="11845" max="11845" width="39.7109375" style="3" customWidth="1"/>
    <col min="11846" max="12047" width="9.140625" style="3"/>
    <col min="12048" max="12048" width="20" style="3" customWidth="1"/>
    <col min="12049" max="12049" width="42.5703125" style="3" customWidth="1"/>
    <col min="12050" max="12057" width="3.28515625" style="3" customWidth="1"/>
    <col min="12058" max="12058" width="4.7109375" style="3" customWidth="1"/>
    <col min="12059" max="12066" width="3.28515625" style="3" customWidth="1"/>
    <col min="12067" max="12067" width="4.140625" style="3" customWidth="1"/>
    <col min="12068" max="12100" width="3.28515625" style="3" customWidth="1"/>
    <col min="12101" max="12101" width="39.7109375" style="3" customWidth="1"/>
    <col min="12102" max="12303" width="9.140625" style="3"/>
    <col min="12304" max="12304" width="20" style="3" customWidth="1"/>
    <col min="12305" max="12305" width="42.5703125" style="3" customWidth="1"/>
    <col min="12306" max="12313" width="3.28515625" style="3" customWidth="1"/>
    <col min="12314" max="12314" width="4.7109375" style="3" customWidth="1"/>
    <col min="12315" max="12322" width="3.28515625" style="3" customWidth="1"/>
    <col min="12323" max="12323" width="4.140625" style="3" customWidth="1"/>
    <col min="12324" max="12356" width="3.28515625" style="3" customWidth="1"/>
    <col min="12357" max="12357" width="39.7109375" style="3" customWidth="1"/>
    <col min="12358" max="12559" width="9.140625" style="3"/>
    <col min="12560" max="12560" width="20" style="3" customWidth="1"/>
    <col min="12561" max="12561" width="42.5703125" style="3" customWidth="1"/>
    <col min="12562" max="12569" width="3.28515625" style="3" customWidth="1"/>
    <col min="12570" max="12570" width="4.7109375" style="3" customWidth="1"/>
    <col min="12571" max="12578" width="3.28515625" style="3" customWidth="1"/>
    <col min="12579" max="12579" width="4.140625" style="3" customWidth="1"/>
    <col min="12580" max="12612" width="3.28515625" style="3" customWidth="1"/>
    <col min="12613" max="12613" width="39.7109375" style="3" customWidth="1"/>
    <col min="12614" max="12815" width="9.140625" style="3"/>
    <col min="12816" max="12816" width="20" style="3" customWidth="1"/>
    <col min="12817" max="12817" width="42.5703125" style="3" customWidth="1"/>
    <col min="12818" max="12825" width="3.28515625" style="3" customWidth="1"/>
    <col min="12826" max="12826" width="4.7109375" style="3" customWidth="1"/>
    <col min="12827" max="12834" width="3.28515625" style="3" customWidth="1"/>
    <col min="12835" max="12835" width="4.140625" style="3" customWidth="1"/>
    <col min="12836" max="12868" width="3.28515625" style="3" customWidth="1"/>
    <col min="12869" max="12869" width="39.7109375" style="3" customWidth="1"/>
    <col min="12870" max="13071" width="9.140625" style="3"/>
    <col min="13072" max="13072" width="20" style="3" customWidth="1"/>
    <col min="13073" max="13073" width="42.5703125" style="3" customWidth="1"/>
    <col min="13074" max="13081" width="3.28515625" style="3" customWidth="1"/>
    <col min="13082" max="13082" width="4.7109375" style="3" customWidth="1"/>
    <col min="13083" max="13090" width="3.28515625" style="3" customWidth="1"/>
    <col min="13091" max="13091" width="4.140625" style="3" customWidth="1"/>
    <col min="13092" max="13124" width="3.28515625" style="3" customWidth="1"/>
    <col min="13125" max="13125" width="39.7109375" style="3" customWidth="1"/>
    <col min="13126" max="13327" width="9.140625" style="3"/>
    <col min="13328" max="13328" width="20" style="3" customWidth="1"/>
    <col min="13329" max="13329" width="42.5703125" style="3" customWidth="1"/>
    <col min="13330" max="13337" width="3.28515625" style="3" customWidth="1"/>
    <col min="13338" max="13338" width="4.7109375" style="3" customWidth="1"/>
    <col min="13339" max="13346" width="3.28515625" style="3" customWidth="1"/>
    <col min="13347" max="13347" width="4.140625" style="3" customWidth="1"/>
    <col min="13348" max="13380" width="3.28515625" style="3" customWidth="1"/>
    <col min="13381" max="13381" width="39.7109375" style="3" customWidth="1"/>
    <col min="13382" max="13583" width="9.140625" style="3"/>
    <col min="13584" max="13584" width="20" style="3" customWidth="1"/>
    <col min="13585" max="13585" width="42.5703125" style="3" customWidth="1"/>
    <col min="13586" max="13593" width="3.28515625" style="3" customWidth="1"/>
    <col min="13594" max="13594" width="4.7109375" style="3" customWidth="1"/>
    <col min="13595" max="13602" width="3.28515625" style="3" customWidth="1"/>
    <col min="13603" max="13603" width="4.140625" style="3" customWidth="1"/>
    <col min="13604" max="13636" width="3.28515625" style="3" customWidth="1"/>
    <col min="13637" max="13637" width="39.7109375" style="3" customWidth="1"/>
    <col min="13638" max="13839" width="9.140625" style="3"/>
    <col min="13840" max="13840" width="20" style="3" customWidth="1"/>
    <col min="13841" max="13841" width="42.5703125" style="3" customWidth="1"/>
    <col min="13842" max="13849" width="3.28515625" style="3" customWidth="1"/>
    <col min="13850" max="13850" width="4.7109375" style="3" customWidth="1"/>
    <col min="13851" max="13858" width="3.28515625" style="3" customWidth="1"/>
    <col min="13859" max="13859" width="4.140625" style="3" customWidth="1"/>
    <col min="13860" max="13892" width="3.28515625" style="3" customWidth="1"/>
    <col min="13893" max="13893" width="39.7109375" style="3" customWidth="1"/>
    <col min="13894" max="14095" width="9.140625" style="3"/>
    <col min="14096" max="14096" width="20" style="3" customWidth="1"/>
    <col min="14097" max="14097" width="42.5703125" style="3" customWidth="1"/>
    <col min="14098" max="14105" width="3.28515625" style="3" customWidth="1"/>
    <col min="14106" max="14106" width="4.7109375" style="3" customWidth="1"/>
    <col min="14107" max="14114" width="3.28515625" style="3" customWidth="1"/>
    <col min="14115" max="14115" width="4.140625" style="3" customWidth="1"/>
    <col min="14116" max="14148" width="3.28515625" style="3" customWidth="1"/>
    <col min="14149" max="14149" width="39.7109375" style="3" customWidth="1"/>
    <col min="14150" max="14351" width="9.140625" style="3"/>
    <col min="14352" max="14352" width="20" style="3" customWidth="1"/>
    <col min="14353" max="14353" width="42.5703125" style="3" customWidth="1"/>
    <col min="14354" max="14361" width="3.28515625" style="3" customWidth="1"/>
    <col min="14362" max="14362" width="4.7109375" style="3" customWidth="1"/>
    <col min="14363" max="14370" width="3.28515625" style="3" customWidth="1"/>
    <col min="14371" max="14371" width="4.140625" style="3" customWidth="1"/>
    <col min="14372" max="14404" width="3.28515625" style="3" customWidth="1"/>
    <col min="14405" max="14405" width="39.7109375" style="3" customWidth="1"/>
    <col min="14406" max="14607" width="9.140625" style="3"/>
    <col min="14608" max="14608" width="20" style="3" customWidth="1"/>
    <col min="14609" max="14609" width="42.5703125" style="3" customWidth="1"/>
    <col min="14610" max="14617" width="3.28515625" style="3" customWidth="1"/>
    <col min="14618" max="14618" width="4.7109375" style="3" customWidth="1"/>
    <col min="14619" max="14626" width="3.28515625" style="3" customWidth="1"/>
    <col min="14627" max="14627" width="4.140625" style="3" customWidth="1"/>
    <col min="14628" max="14660" width="3.28515625" style="3" customWidth="1"/>
    <col min="14661" max="14661" width="39.7109375" style="3" customWidth="1"/>
    <col min="14662" max="14863" width="9.140625" style="3"/>
    <col min="14864" max="14864" width="20" style="3" customWidth="1"/>
    <col min="14865" max="14865" width="42.5703125" style="3" customWidth="1"/>
    <col min="14866" max="14873" width="3.28515625" style="3" customWidth="1"/>
    <col min="14874" max="14874" width="4.7109375" style="3" customWidth="1"/>
    <col min="14875" max="14882" width="3.28515625" style="3" customWidth="1"/>
    <col min="14883" max="14883" width="4.140625" style="3" customWidth="1"/>
    <col min="14884" max="14916" width="3.28515625" style="3" customWidth="1"/>
    <col min="14917" max="14917" width="39.7109375" style="3" customWidth="1"/>
    <col min="14918" max="15119" width="9.140625" style="3"/>
    <col min="15120" max="15120" width="20" style="3" customWidth="1"/>
    <col min="15121" max="15121" width="42.5703125" style="3" customWidth="1"/>
    <col min="15122" max="15129" width="3.28515625" style="3" customWidth="1"/>
    <col min="15130" max="15130" width="4.7109375" style="3" customWidth="1"/>
    <col min="15131" max="15138" width="3.28515625" style="3" customWidth="1"/>
    <col min="15139" max="15139" width="4.140625" style="3" customWidth="1"/>
    <col min="15140" max="15172" width="3.28515625" style="3" customWidth="1"/>
    <col min="15173" max="15173" width="39.7109375" style="3" customWidth="1"/>
    <col min="15174" max="15375" width="9.140625" style="3"/>
    <col min="15376" max="15376" width="20" style="3" customWidth="1"/>
    <col min="15377" max="15377" width="42.5703125" style="3" customWidth="1"/>
    <col min="15378" max="15385" width="3.28515625" style="3" customWidth="1"/>
    <col min="15386" max="15386" width="4.7109375" style="3" customWidth="1"/>
    <col min="15387" max="15394" width="3.28515625" style="3" customWidth="1"/>
    <col min="15395" max="15395" width="4.140625" style="3" customWidth="1"/>
    <col min="15396" max="15428" width="3.28515625" style="3" customWidth="1"/>
    <col min="15429" max="15429" width="39.7109375" style="3" customWidth="1"/>
    <col min="15430" max="15631" width="9.140625" style="3"/>
    <col min="15632" max="15632" width="20" style="3" customWidth="1"/>
    <col min="15633" max="15633" width="42.5703125" style="3" customWidth="1"/>
    <col min="15634" max="15641" width="3.28515625" style="3" customWidth="1"/>
    <col min="15642" max="15642" width="4.7109375" style="3" customWidth="1"/>
    <col min="15643" max="15650" width="3.28515625" style="3" customWidth="1"/>
    <col min="15651" max="15651" width="4.140625" style="3" customWidth="1"/>
    <col min="15652" max="15684" width="3.28515625" style="3" customWidth="1"/>
    <col min="15685" max="15685" width="39.7109375" style="3" customWidth="1"/>
    <col min="15686" max="15887" width="9.140625" style="3"/>
    <col min="15888" max="15888" width="20" style="3" customWidth="1"/>
    <col min="15889" max="15889" width="42.5703125" style="3" customWidth="1"/>
    <col min="15890" max="15897" width="3.28515625" style="3" customWidth="1"/>
    <col min="15898" max="15898" width="4.7109375" style="3" customWidth="1"/>
    <col min="15899" max="15906" width="3.28515625" style="3" customWidth="1"/>
    <col min="15907" max="15907" width="4.140625" style="3" customWidth="1"/>
    <col min="15908" max="15940" width="3.28515625" style="3" customWidth="1"/>
    <col min="15941" max="15941" width="39.7109375" style="3" customWidth="1"/>
    <col min="15942" max="16143" width="9.140625" style="3"/>
    <col min="16144" max="16144" width="20" style="3" customWidth="1"/>
    <col min="16145" max="16145" width="42.5703125" style="3" customWidth="1"/>
    <col min="16146" max="16153" width="3.28515625" style="3" customWidth="1"/>
    <col min="16154" max="16154" width="4.7109375" style="3" customWidth="1"/>
    <col min="16155" max="16162" width="3.28515625" style="3" customWidth="1"/>
    <col min="16163" max="16163" width="4.140625" style="3" customWidth="1"/>
    <col min="16164" max="16196" width="3.28515625" style="3" customWidth="1"/>
    <col min="16197" max="16197" width="39.7109375" style="3" customWidth="1"/>
    <col min="16198" max="16384" width="9.140625" style="3"/>
  </cols>
  <sheetData>
    <row r="1" spans="1:80" ht="22.9" customHeight="1" thickBo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  <c r="N1" s="18"/>
      <c r="O1" s="18"/>
      <c r="P1" s="18"/>
      <c r="Q1" s="18"/>
      <c r="R1" s="8" t="s">
        <v>30</v>
      </c>
      <c r="S1" s="8"/>
      <c r="T1" s="8"/>
      <c r="U1" s="17"/>
      <c r="V1" s="8"/>
      <c r="W1" s="8"/>
      <c r="X1" s="8"/>
      <c r="Y1" s="8"/>
      <c r="Z1" s="8"/>
      <c r="AA1" s="8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34" t="s">
        <v>31</v>
      </c>
      <c r="BH1" s="34"/>
    </row>
    <row r="2" spans="1:80" ht="27" customHeight="1" thickBo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  <c r="N2" s="18"/>
      <c r="O2" s="18"/>
      <c r="P2" s="18"/>
      <c r="Q2" s="18"/>
      <c r="R2" s="21" t="s">
        <v>32</v>
      </c>
      <c r="S2" s="22"/>
      <c r="T2" s="22"/>
      <c r="U2" s="23"/>
      <c r="V2" s="22"/>
      <c r="W2" s="22"/>
      <c r="X2" s="22"/>
      <c r="Y2" s="22"/>
      <c r="Z2" s="22"/>
      <c r="AA2" s="22"/>
      <c r="AB2" s="24"/>
      <c r="AC2" s="8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</row>
    <row r="3" spans="1:80" ht="21" thickBot="1">
      <c r="A3" s="17"/>
      <c r="B3" s="17"/>
      <c r="C3" s="17"/>
      <c r="D3" s="8"/>
      <c r="E3" s="8"/>
      <c r="F3" s="8"/>
      <c r="G3" s="8"/>
      <c r="H3" s="8"/>
      <c r="I3" s="8"/>
      <c r="J3" s="8"/>
      <c r="K3" s="8"/>
      <c r="L3" s="8"/>
      <c r="M3" s="19"/>
      <c r="N3" s="19"/>
      <c r="O3" s="19"/>
      <c r="P3" s="19"/>
      <c r="Q3" s="19"/>
      <c r="R3" s="8" t="s">
        <v>33</v>
      </c>
      <c r="S3" s="8"/>
      <c r="T3" s="8"/>
      <c r="U3" s="17"/>
      <c r="V3" s="8"/>
      <c r="W3" s="8"/>
      <c r="X3" s="8"/>
      <c r="Y3" s="8"/>
      <c r="Z3" s="8"/>
      <c r="AA3" s="8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O3" s="17"/>
      <c r="AP3" s="8" t="s">
        <v>34</v>
      </c>
      <c r="AQ3" s="17"/>
      <c r="AR3" s="17"/>
      <c r="AS3" s="17"/>
      <c r="AT3" s="17"/>
      <c r="AU3" s="17"/>
      <c r="AV3" s="17" t="s">
        <v>35</v>
      </c>
      <c r="AW3" s="20"/>
      <c r="AX3" s="17"/>
      <c r="AY3" s="17" t="s">
        <v>36</v>
      </c>
      <c r="AZ3" s="17"/>
      <c r="BA3" s="17"/>
      <c r="BB3" s="17"/>
      <c r="BC3" s="17"/>
      <c r="BD3" s="17"/>
      <c r="BE3" s="17"/>
      <c r="BF3" s="17"/>
      <c r="BG3" s="17"/>
      <c r="BH3" s="17"/>
      <c r="BI3" s="1"/>
      <c r="BJ3" s="1"/>
      <c r="BK3" s="1"/>
      <c r="BN3" s="6"/>
    </row>
    <row r="4" spans="1:80" ht="27" customHeight="1" thickBot="1">
      <c r="A4" s="17"/>
      <c r="B4" s="17"/>
      <c r="C4" s="17"/>
      <c r="D4" s="8"/>
      <c r="E4" s="8"/>
      <c r="F4" s="8"/>
      <c r="G4" s="8"/>
      <c r="H4" s="8"/>
      <c r="I4" s="8"/>
      <c r="J4" s="8"/>
      <c r="K4" s="8"/>
      <c r="L4" s="8"/>
      <c r="M4" s="19"/>
      <c r="N4" s="19"/>
      <c r="O4" s="19"/>
      <c r="P4" s="19"/>
      <c r="Q4" s="19"/>
      <c r="R4" s="21" t="s">
        <v>151</v>
      </c>
      <c r="S4" s="22"/>
      <c r="T4" s="22"/>
      <c r="U4" s="22"/>
      <c r="V4" s="22"/>
      <c r="W4" s="22"/>
      <c r="X4" s="22"/>
      <c r="Y4" s="22"/>
      <c r="Z4" s="22"/>
      <c r="AA4" s="22"/>
      <c r="AB4" s="24"/>
      <c r="AC4" s="8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 t="s">
        <v>38</v>
      </c>
      <c r="AW4" s="20" t="s">
        <v>39</v>
      </c>
      <c r="AX4" s="17"/>
      <c r="AY4" s="21"/>
      <c r="AZ4" s="23"/>
      <c r="BA4" s="23"/>
      <c r="BB4" s="23"/>
      <c r="BC4" s="23"/>
      <c r="BD4" s="23"/>
      <c r="BE4" s="23"/>
      <c r="BF4" s="23"/>
      <c r="BG4" s="23"/>
      <c r="BH4" s="25"/>
      <c r="BI4" s="1"/>
      <c r="BJ4" s="1"/>
      <c r="BK4" s="1"/>
    </row>
    <row r="5" spans="1:80" ht="21.6" customHeight="1" thickBot="1">
      <c r="A5" s="17"/>
      <c r="B5" s="17"/>
      <c r="C5" s="17"/>
      <c r="D5" s="8"/>
      <c r="E5" s="8"/>
      <c r="F5" s="8"/>
      <c r="G5" s="8"/>
      <c r="H5" s="8"/>
      <c r="I5" s="8"/>
      <c r="J5" s="8"/>
      <c r="K5" s="8"/>
      <c r="L5" s="8"/>
      <c r="M5" s="19"/>
      <c r="N5" s="19"/>
      <c r="O5" s="19"/>
      <c r="P5" s="19"/>
      <c r="Q5" s="18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8"/>
      <c r="AG5" s="8"/>
      <c r="AH5" s="8"/>
      <c r="AI5" s="8"/>
      <c r="AJ5" s="8"/>
      <c r="AK5" s="8"/>
      <c r="AL5" s="8"/>
      <c r="AM5" s="8"/>
      <c r="AN5" s="17"/>
      <c r="AO5" s="17"/>
      <c r="AP5" s="17"/>
      <c r="AQ5" s="17"/>
      <c r="AS5" s="8" t="s">
        <v>40</v>
      </c>
      <c r="AT5" s="17"/>
      <c r="AU5" s="17"/>
      <c r="AV5" s="17" t="s">
        <v>35</v>
      </c>
      <c r="AW5" s="20"/>
      <c r="AX5" s="17"/>
      <c r="AY5" s="8" t="s">
        <v>41</v>
      </c>
      <c r="AZ5" s="17"/>
      <c r="BA5" s="17"/>
      <c r="BB5" s="17"/>
      <c r="BC5" s="17"/>
      <c r="BD5" s="17"/>
      <c r="BE5" s="17"/>
      <c r="BF5" s="17"/>
      <c r="BG5" s="17"/>
      <c r="BH5" s="17"/>
      <c r="BI5" s="1"/>
      <c r="BJ5" s="1"/>
      <c r="BK5" s="1"/>
      <c r="BN5" s="4"/>
    </row>
    <row r="6" spans="1:80" ht="27" customHeight="1" thickBot="1">
      <c r="A6" s="17"/>
      <c r="B6" s="17"/>
      <c r="C6" s="253" t="s">
        <v>42</v>
      </c>
      <c r="D6" s="254"/>
      <c r="E6" s="254"/>
      <c r="F6" s="255"/>
      <c r="G6" s="26" t="s">
        <v>43</v>
      </c>
      <c r="H6" s="23"/>
      <c r="I6" s="23"/>
      <c r="J6" s="23"/>
      <c r="K6" s="23"/>
      <c r="L6" s="23"/>
      <c r="M6" s="23"/>
      <c r="N6" s="23"/>
      <c r="O6" s="23"/>
      <c r="P6" s="23"/>
      <c r="Q6" s="25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 t="s">
        <v>38</v>
      </c>
      <c r="AW6" s="20" t="s">
        <v>39</v>
      </c>
      <c r="AX6" s="17"/>
      <c r="AY6" s="21"/>
      <c r="AZ6" s="22"/>
      <c r="BA6" s="22"/>
      <c r="BB6" s="22"/>
      <c r="BC6" s="22"/>
      <c r="BD6" s="22"/>
      <c r="BE6" s="22"/>
      <c r="BF6" s="22"/>
      <c r="BG6" s="22"/>
      <c r="BH6" s="24"/>
      <c r="BI6" s="1"/>
      <c r="BJ6" s="1"/>
      <c r="BK6" s="1"/>
      <c r="BL6" s="1"/>
      <c r="BN6" s="4"/>
    </row>
    <row r="7" spans="1:80" ht="28.9" customHeight="1" thickBot="1">
      <c r="A7" s="17"/>
      <c r="B7" s="17"/>
      <c r="C7" s="253" t="s">
        <v>44</v>
      </c>
      <c r="D7" s="254"/>
      <c r="E7" s="254"/>
      <c r="F7" s="255"/>
      <c r="G7" s="26" t="s">
        <v>45</v>
      </c>
      <c r="H7" s="23"/>
      <c r="I7" s="23"/>
      <c r="J7" s="23"/>
      <c r="K7" s="23"/>
      <c r="L7" s="23"/>
      <c r="M7" s="23"/>
      <c r="N7" s="23"/>
      <c r="O7" s="23"/>
      <c r="P7" s="23"/>
      <c r="Q7" s="25"/>
      <c r="R7" s="8" t="s">
        <v>46</v>
      </c>
      <c r="S7" s="8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256" t="s">
        <v>47</v>
      </c>
      <c r="AQ7" s="257"/>
      <c r="AR7" s="257"/>
      <c r="AS7" s="257"/>
      <c r="AT7" s="258"/>
      <c r="AU7" s="8"/>
      <c r="AV7" s="8"/>
      <c r="AW7" s="17"/>
      <c r="AX7" s="17"/>
      <c r="AY7" s="17"/>
      <c r="AZ7" s="17"/>
      <c r="BA7" s="27"/>
      <c r="BB7" s="27"/>
      <c r="BC7" s="17"/>
      <c r="BD7" s="27"/>
      <c r="BE7" s="27"/>
      <c r="BF7" s="27"/>
      <c r="BG7" s="27"/>
      <c r="BH7" s="27"/>
      <c r="BI7" s="1"/>
      <c r="BJ7" s="1"/>
      <c r="BK7" s="1"/>
      <c r="BL7" s="1"/>
    </row>
    <row r="8" spans="1:80" ht="27" customHeight="1" thickBot="1">
      <c r="A8" s="17"/>
      <c r="B8" s="17"/>
      <c r="C8" s="262" t="s">
        <v>48</v>
      </c>
      <c r="D8" s="263"/>
      <c r="E8" s="263"/>
      <c r="F8" s="264"/>
      <c r="G8" s="26" t="s">
        <v>49</v>
      </c>
      <c r="H8" s="23"/>
      <c r="I8" s="23"/>
      <c r="J8" s="23"/>
      <c r="K8" s="23"/>
      <c r="L8" s="23"/>
      <c r="M8" s="23"/>
      <c r="N8" s="23"/>
      <c r="O8" s="23"/>
      <c r="P8" s="23"/>
      <c r="Q8" s="25"/>
      <c r="R8" s="22" t="s">
        <v>50</v>
      </c>
      <c r="S8" s="22"/>
      <c r="T8" s="22"/>
      <c r="U8" s="22"/>
      <c r="V8" s="22"/>
      <c r="W8" s="23"/>
      <c r="X8" s="23"/>
      <c r="Y8" s="23"/>
      <c r="Z8" s="23"/>
      <c r="AA8" s="23"/>
      <c r="AB8" s="23"/>
      <c r="AC8" s="47" t="s">
        <v>52</v>
      </c>
      <c r="AD8" s="7"/>
      <c r="AE8" s="48"/>
      <c r="AF8" s="48"/>
      <c r="AG8" s="48"/>
      <c r="AH8" s="48"/>
      <c r="AI8" s="48"/>
      <c r="AJ8" s="48"/>
      <c r="AK8" s="48"/>
      <c r="AL8" s="48"/>
      <c r="AM8" s="32"/>
      <c r="AN8" s="17"/>
      <c r="AO8" s="17"/>
      <c r="AP8" s="259"/>
      <c r="AQ8" s="260"/>
      <c r="AR8" s="260"/>
      <c r="AS8" s="260"/>
      <c r="AT8" s="261"/>
      <c r="AU8" s="23" t="s">
        <v>54</v>
      </c>
      <c r="AV8" s="24"/>
      <c r="AW8" s="30" t="s">
        <v>33</v>
      </c>
      <c r="AX8" s="31"/>
      <c r="AY8" s="32"/>
      <c r="AZ8" s="27"/>
      <c r="BA8" s="27"/>
      <c r="BB8" s="27"/>
      <c r="BC8" s="27"/>
      <c r="BD8" s="27"/>
      <c r="BE8" s="27"/>
      <c r="BF8" s="27"/>
      <c r="BG8" s="27"/>
      <c r="BH8" s="27"/>
      <c r="BI8" s="1"/>
      <c r="BJ8" s="1"/>
      <c r="BK8" s="1"/>
      <c r="BM8" s="1"/>
      <c r="BX8" s="1"/>
    </row>
    <row r="9" spans="1:80" ht="27" customHeight="1" thickBot="1">
      <c r="A9" s="17"/>
      <c r="B9" s="17"/>
      <c r="C9" s="253" t="s">
        <v>4</v>
      </c>
      <c r="D9" s="254"/>
      <c r="E9" s="254"/>
      <c r="F9" s="255"/>
      <c r="G9" s="221"/>
      <c r="H9" s="23"/>
      <c r="I9" s="23"/>
      <c r="J9" s="23"/>
      <c r="K9" s="23"/>
      <c r="L9" s="23"/>
      <c r="M9" s="23"/>
      <c r="N9" s="23"/>
      <c r="O9" s="23"/>
      <c r="P9" s="23"/>
      <c r="Q9" s="25"/>
      <c r="R9" s="22" t="s">
        <v>50</v>
      </c>
      <c r="S9" s="22"/>
      <c r="T9" s="22"/>
      <c r="U9" s="22"/>
      <c r="V9" s="22"/>
      <c r="W9" s="23"/>
      <c r="X9" s="23"/>
      <c r="Y9" s="23"/>
      <c r="Z9" s="23"/>
      <c r="AA9" s="23"/>
      <c r="AB9" s="23"/>
      <c r="AC9" s="21" t="s">
        <v>52</v>
      </c>
      <c r="AD9" s="44"/>
      <c r="AE9" s="23"/>
      <c r="AF9" s="22"/>
      <c r="AG9" s="22"/>
      <c r="AH9" s="22"/>
      <c r="AI9" s="23"/>
      <c r="AJ9" s="22"/>
      <c r="AK9" s="22"/>
      <c r="AL9" s="22"/>
      <c r="AM9" s="24"/>
      <c r="AN9" s="17"/>
      <c r="AO9" s="17"/>
      <c r="AP9" s="49">
        <v>1</v>
      </c>
      <c r="AQ9" s="45" t="s">
        <v>56</v>
      </c>
      <c r="AR9" s="50"/>
      <c r="AS9" s="50"/>
      <c r="AT9" s="46"/>
      <c r="AU9" s="21" t="s">
        <v>57</v>
      </c>
      <c r="AV9" s="22"/>
      <c r="AW9" s="26" t="s">
        <v>58</v>
      </c>
      <c r="AX9" s="23"/>
      <c r="AY9" s="22"/>
      <c r="AZ9" s="23"/>
      <c r="BA9" s="23"/>
      <c r="BB9" s="23"/>
      <c r="BC9" s="23"/>
      <c r="BD9" s="23"/>
      <c r="BE9" s="23"/>
      <c r="BF9" s="23"/>
      <c r="BG9" s="23"/>
      <c r="BH9" s="25"/>
      <c r="BI9" s="1"/>
      <c r="BJ9" s="1"/>
      <c r="BK9" s="1"/>
      <c r="BL9" s="1"/>
      <c r="BM9" s="1"/>
    </row>
    <row r="10" spans="1:80" ht="27" customHeight="1" thickBot="1">
      <c r="A10" s="17"/>
      <c r="B10" s="17"/>
      <c r="C10" s="253" t="s">
        <v>2</v>
      </c>
      <c r="D10" s="254"/>
      <c r="E10" s="254"/>
      <c r="F10" s="255"/>
      <c r="G10" s="221" t="s">
        <v>152</v>
      </c>
      <c r="H10" s="67"/>
      <c r="I10" s="67"/>
      <c r="J10" s="67"/>
      <c r="K10" s="23"/>
      <c r="L10" s="23"/>
      <c r="M10" s="23"/>
      <c r="N10" s="23"/>
      <c r="O10" s="23"/>
      <c r="P10" s="23"/>
      <c r="Q10" s="25"/>
      <c r="R10" s="17"/>
      <c r="S10" s="17"/>
      <c r="T10" s="8"/>
      <c r="U10" s="8"/>
      <c r="V10" s="8"/>
      <c r="W10" s="17"/>
      <c r="X10" s="17"/>
      <c r="Y10" s="17"/>
      <c r="Z10" s="17"/>
      <c r="AA10" s="17"/>
      <c r="AB10" s="17"/>
      <c r="AC10" s="17"/>
      <c r="AE10" s="8"/>
      <c r="AF10" s="8"/>
      <c r="AG10" s="8"/>
      <c r="AH10" s="8"/>
      <c r="AI10" s="17"/>
      <c r="AJ10" s="8"/>
      <c r="AK10" s="8"/>
      <c r="AL10" s="8"/>
      <c r="AM10" s="8"/>
      <c r="AN10" s="17"/>
      <c r="AO10" s="17"/>
      <c r="AP10" s="33">
        <v>2</v>
      </c>
      <c r="AQ10" s="21" t="s">
        <v>56</v>
      </c>
      <c r="AR10" s="22"/>
      <c r="AS10" s="22"/>
      <c r="AT10" s="25"/>
      <c r="AU10" s="21" t="s">
        <v>57</v>
      </c>
      <c r="AV10" s="22"/>
      <c r="AW10" s="26" t="s">
        <v>58</v>
      </c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5"/>
      <c r="BI10" s="1"/>
      <c r="BJ10" s="1"/>
      <c r="BK10" s="1"/>
      <c r="BL10" s="1"/>
      <c r="BM10" s="1"/>
      <c r="BX10" s="1"/>
    </row>
    <row r="11" spans="1:80" ht="26.65" customHeight="1" thickBot="1">
      <c r="A11" s="17"/>
      <c r="B11" s="17"/>
      <c r="C11" s="253" t="s">
        <v>60</v>
      </c>
      <c r="D11" s="254"/>
      <c r="E11" s="254"/>
      <c r="F11" s="255"/>
      <c r="G11" s="246" t="s">
        <v>153</v>
      </c>
      <c r="H11" s="23"/>
      <c r="I11" s="23"/>
      <c r="J11" s="23"/>
      <c r="K11" s="23"/>
      <c r="L11" s="23"/>
      <c r="M11" s="23"/>
      <c r="N11" s="23"/>
      <c r="O11" s="23"/>
      <c r="P11" s="23"/>
      <c r="Q11" s="25"/>
      <c r="R11" s="22" t="s">
        <v>62</v>
      </c>
      <c r="S11" s="22"/>
      <c r="T11" s="22"/>
      <c r="U11" s="22"/>
      <c r="V11" s="22"/>
      <c r="W11" s="22"/>
      <c r="X11" s="22"/>
      <c r="Y11" s="23"/>
      <c r="Z11" s="22"/>
      <c r="AA11" s="22"/>
      <c r="AB11" s="25"/>
      <c r="AC11" s="21" t="s">
        <v>64</v>
      </c>
      <c r="AD11" s="44"/>
      <c r="AE11" s="22"/>
      <c r="AF11" s="22"/>
      <c r="AG11" s="22"/>
      <c r="AH11" s="22"/>
      <c r="AI11" s="23"/>
      <c r="AJ11" s="22"/>
      <c r="AK11" s="22"/>
      <c r="AL11" s="22"/>
      <c r="AM11" s="24"/>
      <c r="AN11" s="17"/>
      <c r="AO11" s="17"/>
      <c r="AP11" s="33">
        <v>3</v>
      </c>
      <c r="AQ11" s="21"/>
      <c r="AR11" s="22"/>
      <c r="AS11" s="22"/>
      <c r="AT11" s="25"/>
      <c r="AU11" s="21"/>
      <c r="AV11" s="22"/>
      <c r="AW11" s="26"/>
      <c r="AX11" s="23"/>
      <c r="AY11" s="23"/>
      <c r="AZ11" s="22"/>
      <c r="BA11" s="23"/>
      <c r="BB11" s="23"/>
      <c r="BC11" s="23"/>
      <c r="BD11" s="23"/>
      <c r="BE11" s="23"/>
      <c r="BF11" s="23"/>
      <c r="BG11" s="23"/>
      <c r="BH11" s="25"/>
      <c r="BI11" s="1"/>
      <c r="BJ11" s="1"/>
      <c r="BK11" s="1"/>
      <c r="BL11" s="1"/>
      <c r="BM11" s="1"/>
      <c r="BN11" s="1"/>
    </row>
    <row r="12" spans="1:80" ht="27" customHeight="1" thickBot="1">
      <c r="A12" s="8"/>
      <c r="B12" s="17"/>
      <c r="C12" s="253" t="s">
        <v>65</v>
      </c>
      <c r="D12" s="254"/>
      <c r="E12" s="254"/>
      <c r="F12" s="255"/>
      <c r="G12" s="21" t="s">
        <v>66</v>
      </c>
      <c r="H12" s="22"/>
      <c r="I12" s="22"/>
      <c r="J12" s="22"/>
      <c r="K12" s="22"/>
      <c r="L12" s="22"/>
      <c r="M12" s="22"/>
      <c r="N12" s="22"/>
      <c r="O12" s="22"/>
      <c r="P12" s="22"/>
      <c r="Q12" s="24"/>
      <c r="R12" s="22" t="s">
        <v>62</v>
      </c>
      <c r="S12" s="22"/>
      <c r="T12" s="22"/>
      <c r="U12" s="22"/>
      <c r="V12" s="22"/>
      <c r="W12" s="22"/>
      <c r="X12" s="22"/>
      <c r="Y12" s="23"/>
      <c r="Z12" s="22"/>
      <c r="AA12" s="22"/>
      <c r="AB12" s="25"/>
      <c r="AC12" s="21" t="s">
        <v>64</v>
      </c>
      <c r="AD12" s="44"/>
      <c r="AE12" s="22"/>
      <c r="AF12" s="22"/>
      <c r="AG12" s="22"/>
      <c r="AH12" s="22"/>
      <c r="AI12" s="23"/>
      <c r="AJ12" s="22"/>
      <c r="AK12" s="22"/>
      <c r="AL12" s="22"/>
      <c r="AM12" s="24"/>
      <c r="AN12" s="17"/>
      <c r="AO12" s="17"/>
      <c r="AP12" s="33">
        <v>4</v>
      </c>
      <c r="AQ12" s="21"/>
      <c r="AR12" s="22"/>
      <c r="AS12" s="22"/>
      <c r="AT12" s="25"/>
      <c r="AU12" s="21"/>
      <c r="AV12" s="22"/>
      <c r="AW12" s="26"/>
      <c r="AX12" s="23"/>
      <c r="AY12" s="23"/>
      <c r="AZ12" s="22"/>
      <c r="BA12" s="22"/>
      <c r="BB12" s="22"/>
      <c r="BC12" s="22"/>
      <c r="BD12" s="22"/>
      <c r="BE12" s="22"/>
      <c r="BF12" s="22"/>
      <c r="BG12" s="22"/>
      <c r="BH12" s="24"/>
      <c r="BI12" s="1"/>
      <c r="BJ12" s="1"/>
      <c r="BK12" s="1"/>
      <c r="BL12" s="1"/>
      <c r="BM12" s="1"/>
      <c r="BN12" s="1"/>
    </row>
    <row r="13" spans="1:80" ht="22.9" customHeight="1">
      <c r="A13" s="238"/>
      <c r="B13" s="91"/>
      <c r="C13" s="51"/>
      <c r="D13" s="31"/>
      <c r="E13" s="31"/>
      <c r="F13" s="31"/>
      <c r="G13" s="31"/>
      <c r="H13" s="31"/>
      <c r="I13" s="52"/>
      <c r="J13" s="47"/>
      <c r="K13" s="31"/>
      <c r="L13" s="52"/>
      <c r="M13" s="51"/>
      <c r="N13" s="53"/>
      <c r="O13" s="53"/>
      <c r="P13" s="53"/>
      <c r="Q13" s="54"/>
      <c r="R13" s="55" t="s">
        <v>68</v>
      </c>
      <c r="S13" s="56"/>
      <c r="T13" s="31"/>
      <c r="U13" s="31"/>
      <c r="V13" s="31"/>
      <c r="W13" s="48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55" t="s">
        <v>69</v>
      </c>
      <c r="AS13" s="56"/>
      <c r="AT13" s="31"/>
      <c r="AU13" s="31"/>
      <c r="AV13" s="31"/>
      <c r="AW13" s="31"/>
      <c r="AX13" s="31"/>
      <c r="AY13" s="31"/>
      <c r="AZ13" s="56"/>
      <c r="BA13" s="48"/>
      <c r="BB13" s="31"/>
      <c r="BC13" s="31"/>
      <c r="BD13" s="31"/>
      <c r="BE13" s="31"/>
      <c r="BF13" s="31"/>
      <c r="BG13" s="52"/>
      <c r="BH13" s="32"/>
      <c r="BI13" s="1"/>
      <c r="BJ13" s="1"/>
      <c r="BK13" s="1"/>
      <c r="BL13" s="1"/>
      <c r="BN13" s="1"/>
      <c r="BO13" s="1"/>
      <c r="BP13" s="1"/>
      <c r="BQ13" s="1"/>
      <c r="BR13" s="1"/>
      <c r="BS13" s="1"/>
    </row>
    <row r="14" spans="1:80" ht="179.65" customHeight="1" thickBot="1">
      <c r="A14" s="239" t="s">
        <v>70</v>
      </c>
      <c r="B14" s="92" t="s">
        <v>71</v>
      </c>
      <c r="C14" s="57" t="s">
        <v>72</v>
      </c>
      <c r="D14" s="58" t="s">
        <v>73</v>
      </c>
      <c r="E14" s="58" t="s">
        <v>74</v>
      </c>
      <c r="F14" s="58" t="s">
        <v>75</v>
      </c>
      <c r="G14" s="58" t="s">
        <v>76</v>
      </c>
      <c r="H14" s="58" t="s">
        <v>77</v>
      </c>
      <c r="I14" s="59" t="s">
        <v>78</v>
      </c>
      <c r="J14" s="57" t="s">
        <v>79</v>
      </c>
      <c r="K14" s="58" t="s">
        <v>80</v>
      </c>
      <c r="L14" s="59" t="s">
        <v>81</v>
      </c>
      <c r="M14" s="57" t="s">
        <v>82</v>
      </c>
      <c r="N14" s="58" t="s">
        <v>83</v>
      </c>
      <c r="O14" s="58" t="s">
        <v>84</v>
      </c>
      <c r="P14" s="58" t="s">
        <v>85</v>
      </c>
      <c r="Q14" s="59" t="s">
        <v>86</v>
      </c>
      <c r="R14" s="57" t="s">
        <v>87</v>
      </c>
      <c r="S14" s="58" t="s">
        <v>88</v>
      </c>
      <c r="T14" s="58" t="s">
        <v>89</v>
      </c>
      <c r="U14" s="58" t="s">
        <v>90</v>
      </c>
      <c r="V14" s="58" t="s">
        <v>91</v>
      </c>
      <c r="W14" s="58" t="s">
        <v>92</v>
      </c>
      <c r="X14" s="58" t="s">
        <v>93</v>
      </c>
      <c r="Y14" s="58" t="s">
        <v>94</v>
      </c>
      <c r="Z14" s="58" t="s">
        <v>95</v>
      </c>
      <c r="AA14" s="58" t="s">
        <v>96</v>
      </c>
      <c r="AB14" s="58" t="s">
        <v>97</v>
      </c>
      <c r="AC14" s="58" t="s">
        <v>98</v>
      </c>
      <c r="AD14" s="58" t="s">
        <v>99</v>
      </c>
      <c r="AE14" s="58" t="s">
        <v>100</v>
      </c>
      <c r="AF14" s="58" t="s">
        <v>101</v>
      </c>
      <c r="AG14" s="58" t="s">
        <v>102</v>
      </c>
      <c r="AH14" s="58" t="s">
        <v>103</v>
      </c>
      <c r="AI14" s="58" t="s">
        <v>104</v>
      </c>
      <c r="AJ14" s="58" t="s">
        <v>105</v>
      </c>
      <c r="AK14" s="58" t="s">
        <v>106</v>
      </c>
      <c r="AL14" s="58" t="s">
        <v>107</v>
      </c>
      <c r="AM14" s="58" t="s">
        <v>108</v>
      </c>
      <c r="AN14" s="58" t="s">
        <v>109</v>
      </c>
      <c r="AO14" s="58" t="s">
        <v>110</v>
      </c>
      <c r="AP14" s="58" t="s">
        <v>111</v>
      </c>
      <c r="AQ14" s="58" t="s">
        <v>112</v>
      </c>
      <c r="AR14" s="57" t="s">
        <v>87</v>
      </c>
      <c r="AS14" s="58" t="s">
        <v>88</v>
      </c>
      <c r="AT14" s="58" t="s">
        <v>89</v>
      </c>
      <c r="AU14" s="58" t="s">
        <v>90</v>
      </c>
      <c r="AV14" s="58" t="s">
        <v>91</v>
      </c>
      <c r="AW14" s="58" t="s">
        <v>92</v>
      </c>
      <c r="AX14" s="58" t="s">
        <v>93</v>
      </c>
      <c r="AY14" s="58" t="s">
        <v>113</v>
      </c>
      <c r="AZ14" s="58" t="s">
        <v>94</v>
      </c>
      <c r="BA14" s="58" t="s">
        <v>95</v>
      </c>
      <c r="BB14" s="58" t="s">
        <v>114</v>
      </c>
      <c r="BC14" s="58" t="s">
        <v>115</v>
      </c>
      <c r="BD14" s="58" t="s">
        <v>116</v>
      </c>
      <c r="BE14" s="58" t="s">
        <v>117</v>
      </c>
      <c r="BF14" s="58" t="s">
        <v>118</v>
      </c>
      <c r="BG14" s="59" t="s">
        <v>119</v>
      </c>
      <c r="BH14" s="66" t="s">
        <v>120</v>
      </c>
      <c r="BI14" s="9"/>
      <c r="BJ14" s="9"/>
      <c r="BK14" s="9"/>
      <c r="BM14" s="9"/>
      <c r="BN14" s="9"/>
      <c r="BO14" s="9"/>
      <c r="BP14" s="9"/>
      <c r="BQ14" s="9"/>
      <c r="BR14" s="9"/>
      <c r="BS14" s="9"/>
      <c r="BT14" s="9"/>
      <c r="CB14" s="5"/>
    </row>
    <row r="15" spans="1:80" ht="29.65" customHeight="1">
      <c r="A15" s="1">
        <v>26</v>
      </c>
      <c r="B15" s="182" t="s">
        <v>137</v>
      </c>
      <c r="C15" s="224"/>
      <c r="D15" s="191"/>
      <c r="E15" s="191" t="s">
        <v>39</v>
      </c>
      <c r="F15" s="191"/>
      <c r="G15" s="191"/>
      <c r="H15" s="191"/>
      <c r="I15" s="223"/>
      <c r="J15" s="224" t="s">
        <v>126</v>
      </c>
      <c r="K15" s="191">
        <v>5</v>
      </c>
      <c r="L15" s="223"/>
      <c r="M15" s="188"/>
      <c r="N15" s="189"/>
      <c r="O15" s="189"/>
      <c r="P15" s="189"/>
      <c r="Q15" s="190"/>
      <c r="R15" s="185"/>
      <c r="S15" s="186"/>
      <c r="T15" s="191"/>
      <c r="U15" s="191"/>
      <c r="V15" s="191"/>
      <c r="W15" s="186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86"/>
      <c r="AO15" s="186">
        <v>2</v>
      </c>
      <c r="AP15" s="186"/>
      <c r="AQ15" s="187"/>
      <c r="AR15" s="185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7"/>
      <c r="BH15" s="193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</row>
    <row r="16" spans="1:80" ht="29.65" customHeight="1">
      <c r="A16" s="1">
        <v>27</v>
      </c>
      <c r="B16" s="3" t="s">
        <v>154</v>
      </c>
      <c r="C16" s="76"/>
      <c r="D16" s="73"/>
      <c r="E16" s="73"/>
      <c r="F16" s="73" t="s">
        <v>39</v>
      </c>
      <c r="G16" s="73"/>
      <c r="H16" s="73" t="s">
        <v>39</v>
      </c>
      <c r="I16" s="77"/>
      <c r="J16" s="76" t="s">
        <v>126</v>
      </c>
      <c r="K16" s="73">
        <v>20</v>
      </c>
      <c r="L16" s="77"/>
      <c r="M16" s="83"/>
      <c r="N16" s="72"/>
      <c r="O16" s="72"/>
      <c r="P16" s="72"/>
      <c r="Q16" s="84"/>
      <c r="R16" s="88"/>
      <c r="S16" s="71"/>
      <c r="T16" s="73"/>
      <c r="U16" s="73"/>
      <c r="V16" s="73"/>
      <c r="W16" s="93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82"/>
      <c r="AO16" s="71"/>
      <c r="AP16" s="71"/>
      <c r="AQ16" s="81"/>
      <c r="AR16" s="88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81"/>
      <c r="BH16" s="89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</row>
    <row r="17" spans="1:71" ht="29.65" customHeight="1">
      <c r="A17" s="1">
        <v>28</v>
      </c>
      <c r="B17" s="182" t="s">
        <v>155</v>
      </c>
      <c r="C17" s="207" t="s">
        <v>39</v>
      </c>
      <c r="D17" s="206"/>
      <c r="E17" s="206"/>
      <c r="F17" s="206"/>
      <c r="G17" s="206" t="s">
        <v>39</v>
      </c>
      <c r="H17" s="206"/>
      <c r="I17" s="208"/>
      <c r="J17" s="207" t="s">
        <v>142</v>
      </c>
      <c r="K17" s="206">
        <v>10</v>
      </c>
      <c r="L17" s="208"/>
      <c r="M17" s="199"/>
      <c r="N17" s="200"/>
      <c r="O17" s="200"/>
      <c r="P17" s="200"/>
      <c r="Q17" s="201"/>
      <c r="R17" s="196"/>
      <c r="S17" s="197"/>
      <c r="T17" s="197"/>
      <c r="U17" s="197"/>
      <c r="V17" s="197"/>
      <c r="W17" s="202"/>
      <c r="X17" s="197"/>
      <c r="Y17" s="197"/>
      <c r="Z17" s="197">
        <v>2</v>
      </c>
      <c r="AA17" s="197"/>
      <c r="AB17" s="197"/>
      <c r="AC17" s="197"/>
      <c r="AD17" s="197"/>
      <c r="AE17" s="197"/>
      <c r="AF17" s="197"/>
      <c r="AG17" s="197"/>
      <c r="AH17" s="197"/>
      <c r="AI17" s="197"/>
      <c r="AJ17" s="197"/>
      <c r="AK17" s="197"/>
      <c r="AL17" s="197">
        <v>1</v>
      </c>
      <c r="AM17" s="197"/>
      <c r="AN17" s="203"/>
      <c r="AO17" s="197"/>
      <c r="AP17" s="197"/>
      <c r="AQ17" s="198"/>
      <c r="AR17" s="196"/>
      <c r="AS17" s="197"/>
      <c r="AT17" s="197"/>
      <c r="AU17" s="197"/>
      <c r="AV17" s="197"/>
      <c r="AW17" s="197"/>
      <c r="AX17" s="197"/>
      <c r="AY17" s="197"/>
      <c r="AZ17" s="204"/>
      <c r="BA17" s="197"/>
      <c r="BB17" s="197"/>
      <c r="BC17" s="197"/>
      <c r="BD17" s="197"/>
      <c r="BE17" s="197"/>
      <c r="BF17" s="197"/>
      <c r="BG17" s="198"/>
      <c r="BH17" s="205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</row>
    <row r="18" spans="1:71" ht="29.65" customHeight="1">
      <c r="A18" s="1">
        <v>29</v>
      </c>
      <c r="B18" s="3" t="s">
        <v>143</v>
      </c>
      <c r="C18" s="76"/>
      <c r="D18" s="73" t="s">
        <v>39</v>
      </c>
      <c r="E18" s="73"/>
      <c r="F18" s="73"/>
      <c r="G18" s="73" t="s">
        <v>39</v>
      </c>
      <c r="H18" s="73"/>
      <c r="I18" s="77"/>
      <c r="J18" s="76" t="s">
        <v>142</v>
      </c>
      <c r="K18" s="73">
        <v>5</v>
      </c>
      <c r="L18" s="77"/>
      <c r="M18" s="83"/>
      <c r="N18" s="72"/>
      <c r="O18" s="72"/>
      <c r="P18" s="72"/>
      <c r="Q18" s="84"/>
      <c r="R18" s="88"/>
      <c r="S18" s="71"/>
      <c r="T18" s="71"/>
      <c r="U18" s="71"/>
      <c r="V18" s="71"/>
      <c r="W18" s="93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82"/>
      <c r="AO18" s="71"/>
      <c r="AP18" s="71"/>
      <c r="AQ18" s="81"/>
      <c r="AR18" s="88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81"/>
      <c r="BH18" s="89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</row>
    <row r="19" spans="1:71" ht="29.65" customHeight="1">
      <c r="A19" s="1">
        <v>30</v>
      </c>
      <c r="B19" s="182" t="s">
        <v>156</v>
      </c>
      <c r="C19" s="207" t="s">
        <v>39</v>
      </c>
      <c r="D19" s="206"/>
      <c r="E19" s="206"/>
      <c r="F19" s="206"/>
      <c r="G19" s="206" t="s">
        <v>39</v>
      </c>
      <c r="H19" s="206"/>
      <c r="I19" s="208"/>
      <c r="J19" s="207" t="s">
        <v>142</v>
      </c>
      <c r="K19" s="206">
        <v>10</v>
      </c>
      <c r="L19" s="208"/>
      <c r="M19" s="199"/>
      <c r="N19" s="200"/>
      <c r="O19" s="200"/>
      <c r="P19" s="200"/>
      <c r="Q19" s="201"/>
      <c r="R19" s="196"/>
      <c r="S19" s="197"/>
      <c r="T19" s="197"/>
      <c r="U19" s="197"/>
      <c r="V19" s="197"/>
      <c r="W19" s="202"/>
      <c r="X19" s="206"/>
      <c r="Y19" s="197"/>
      <c r="Z19" s="197">
        <v>2</v>
      </c>
      <c r="AA19" s="197"/>
      <c r="AB19" s="197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97"/>
      <c r="AN19" s="203"/>
      <c r="AO19" s="197"/>
      <c r="AP19" s="197"/>
      <c r="AQ19" s="198"/>
      <c r="AR19" s="196"/>
      <c r="AS19" s="197"/>
      <c r="AT19" s="197"/>
      <c r="AU19" s="197"/>
      <c r="AV19" s="197"/>
      <c r="AW19" s="197"/>
      <c r="AX19" s="197"/>
      <c r="AY19" s="197"/>
      <c r="AZ19" s="197"/>
      <c r="BA19" s="197"/>
      <c r="BB19" s="197"/>
      <c r="BC19" s="197"/>
      <c r="BD19" s="197"/>
      <c r="BE19" s="197"/>
      <c r="BF19" s="197"/>
      <c r="BG19" s="198"/>
      <c r="BH19" s="205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</row>
    <row r="20" spans="1:71" ht="29.65" customHeight="1">
      <c r="A20" s="1">
        <v>31</v>
      </c>
      <c r="B20" s="3" t="s">
        <v>137</v>
      </c>
      <c r="C20" s="76"/>
      <c r="D20" s="73" t="s">
        <v>39</v>
      </c>
      <c r="E20" s="73"/>
      <c r="F20" s="73"/>
      <c r="G20" s="73" t="s">
        <v>39</v>
      </c>
      <c r="H20" s="73"/>
      <c r="I20" s="77"/>
      <c r="J20" s="76" t="s">
        <v>142</v>
      </c>
      <c r="K20" s="73">
        <v>5</v>
      </c>
      <c r="L20" s="77"/>
      <c r="M20" s="83"/>
      <c r="N20" s="72"/>
      <c r="O20" s="72"/>
      <c r="P20" s="72"/>
      <c r="Q20" s="84"/>
      <c r="R20" s="88">
        <v>1</v>
      </c>
      <c r="S20" s="71"/>
      <c r="T20" s="71"/>
      <c r="U20" s="71"/>
      <c r="V20" s="71"/>
      <c r="W20" s="93"/>
      <c r="X20" s="73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82"/>
      <c r="AO20" s="71"/>
      <c r="AP20" s="71"/>
      <c r="AQ20" s="81"/>
      <c r="AR20" s="88"/>
      <c r="AS20" s="71"/>
      <c r="AT20" s="71"/>
      <c r="AU20" s="71"/>
      <c r="AV20" s="71"/>
      <c r="AW20" s="71"/>
      <c r="AX20" s="71"/>
      <c r="AY20" s="71"/>
      <c r="AZ20" s="74"/>
      <c r="BA20" s="71"/>
      <c r="BB20" s="71">
        <v>4</v>
      </c>
      <c r="BC20" s="71"/>
      <c r="BD20" s="71"/>
      <c r="BE20" s="71"/>
      <c r="BF20" s="71"/>
      <c r="BG20" s="81"/>
      <c r="BH20" s="89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</row>
    <row r="21" spans="1:71" ht="29.65" customHeight="1">
      <c r="A21" s="1">
        <v>32</v>
      </c>
      <c r="B21" s="182" t="s">
        <v>157</v>
      </c>
      <c r="C21" s="207"/>
      <c r="D21" s="206" t="s">
        <v>39</v>
      </c>
      <c r="E21" s="206"/>
      <c r="F21" s="206"/>
      <c r="G21" s="206" t="s">
        <v>39</v>
      </c>
      <c r="H21" s="206"/>
      <c r="I21" s="208"/>
      <c r="J21" s="207" t="s">
        <v>142</v>
      </c>
      <c r="K21" s="206">
        <v>5</v>
      </c>
      <c r="L21" s="208"/>
      <c r="M21" s="199"/>
      <c r="N21" s="200"/>
      <c r="O21" s="200"/>
      <c r="P21" s="200"/>
      <c r="Q21" s="201"/>
      <c r="R21" s="196">
        <v>2</v>
      </c>
      <c r="S21" s="197"/>
      <c r="T21" s="197"/>
      <c r="U21" s="197"/>
      <c r="V21" s="197"/>
      <c r="W21" s="202"/>
      <c r="X21" s="206"/>
      <c r="Y21" s="197"/>
      <c r="Z21" s="197"/>
      <c r="AA21" s="197"/>
      <c r="AB21" s="197"/>
      <c r="AC21" s="197"/>
      <c r="AD21" s="197"/>
      <c r="AE21" s="197"/>
      <c r="AF21" s="197"/>
      <c r="AG21" s="197"/>
      <c r="AH21" s="197"/>
      <c r="AI21" s="197"/>
      <c r="AJ21" s="197"/>
      <c r="AK21" s="197">
        <v>1</v>
      </c>
      <c r="AL21" s="197"/>
      <c r="AM21" s="197"/>
      <c r="AN21" s="203"/>
      <c r="AO21" s="197"/>
      <c r="AP21" s="197"/>
      <c r="AQ21" s="198"/>
      <c r="AR21" s="196"/>
      <c r="AS21" s="197"/>
      <c r="AT21" s="197"/>
      <c r="AU21" s="197"/>
      <c r="AV21" s="197"/>
      <c r="AW21" s="197"/>
      <c r="AX21" s="197"/>
      <c r="AY21" s="197"/>
      <c r="AZ21" s="197"/>
      <c r="BA21" s="197"/>
      <c r="BB21" s="197">
        <v>6</v>
      </c>
      <c r="BC21" s="197"/>
      <c r="BD21" s="197"/>
      <c r="BE21" s="197"/>
      <c r="BF21" s="197"/>
      <c r="BG21" s="198"/>
      <c r="BH21" s="205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</row>
    <row r="22" spans="1:71" ht="29.65" customHeight="1">
      <c r="A22" s="1">
        <v>33</v>
      </c>
      <c r="B22" s="3" t="s">
        <v>158</v>
      </c>
      <c r="C22" s="76"/>
      <c r="D22" s="73" t="s">
        <v>39</v>
      </c>
      <c r="E22" s="73"/>
      <c r="F22" s="73"/>
      <c r="G22" s="73" t="s">
        <v>39</v>
      </c>
      <c r="H22" s="73"/>
      <c r="I22" s="77"/>
      <c r="J22" s="76" t="s">
        <v>142</v>
      </c>
      <c r="K22" s="73">
        <v>5</v>
      </c>
      <c r="L22" s="77"/>
      <c r="M22" s="83"/>
      <c r="N22" s="72"/>
      <c r="O22" s="72"/>
      <c r="P22" s="72"/>
      <c r="Q22" s="84"/>
      <c r="R22" s="88">
        <v>2</v>
      </c>
      <c r="S22" s="71"/>
      <c r="T22" s="71"/>
      <c r="U22" s="71">
        <v>2</v>
      </c>
      <c r="V22" s="71"/>
      <c r="W22" s="93"/>
      <c r="X22" s="73"/>
      <c r="Y22" s="71"/>
      <c r="Z22" s="71"/>
      <c r="AA22" s="71"/>
      <c r="AB22" s="71"/>
      <c r="AC22" s="71">
        <v>1</v>
      </c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82"/>
      <c r="AO22" s="71"/>
      <c r="AP22" s="71"/>
      <c r="AQ22" s="81"/>
      <c r="AR22" s="88"/>
      <c r="AS22" s="71"/>
      <c r="AT22" s="71"/>
      <c r="AU22" s="71"/>
      <c r="AV22" s="71"/>
      <c r="AW22" s="71"/>
      <c r="AX22" s="71"/>
      <c r="AY22" s="71"/>
      <c r="AZ22" s="71"/>
      <c r="BA22" s="71"/>
      <c r="BB22" s="71">
        <v>8</v>
      </c>
      <c r="BC22" s="71"/>
      <c r="BD22" s="71"/>
      <c r="BE22" s="71"/>
      <c r="BF22" s="71"/>
      <c r="BG22" s="81"/>
      <c r="BH22" s="89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</row>
    <row r="23" spans="1:71" ht="29.65" customHeight="1">
      <c r="A23" s="1">
        <v>34</v>
      </c>
      <c r="B23" s="182" t="s">
        <v>159</v>
      </c>
      <c r="C23" s="207"/>
      <c r="D23" s="206" t="s">
        <v>39</v>
      </c>
      <c r="E23" s="206"/>
      <c r="F23" s="206"/>
      <c r="G23" s="206" t="s">
        <v>39</v>
      </c>
      <c r="H23" s="206"/>
      <c r="I23" s="208"/>
      <c r="J23" s="207" t="s">
        <v>142</v>
      </c>
      <c r="K23" s="206">
        <v>5</v>
      </c>
      <c r="L23" s="208"/>
      <c r="M23" s="199"/>
      <c r="N23" s="200"/>
      <c r="O23" s="200"/>
      <c r="P23" s="200"/>
      <c r="Q23" s="201"/>
      <c r="R23" s="196">
        <v>2</v>
      </c>
      <c r="S23" s="197"/>
      <c r="T23" s="197"/>
      <c r="U23" s="197"/>
      <c r="V23" s="197"/>
      <c r="W23" s="202"/>
      <c r="X23" s="206"/>
      <c r="Y23" s="197">
        <v>1</v>
      </c>
      <c r="Z23" s="197"/>
      <c r="AA23" s="197"/>
      <c r="AB23" s="197"/>
      <c r="AC23" s="197">
        <v>1</v>
      </c>
      <c r="AD23" s="197"/>
      <c r="AE23" s="197"/>
      <c r="AF23" s="197"/>
      <c r="AG23" s="197"/>
      <c r="AH23" s="197"/>
      <c r="AI23" s="197"/>
      <c r="AJ23" s="197"/>
      <c r="AK23" s="197"/>
      <c r="AL23" s="197"/>
      <c r="AM23" s="197"/>
      <c r="AN23" s="203"/>
      <c r="AO23" s="197">
        <v>1</v>
      </c>
      <c r="AP23" s="197"/>
      <c r="AQ23" s="198"/>
      <c r="AR23" s="196"/>
      <c r="AS23" s="197"/>
      <c r="AT23" s="197"/>
      <c r="AU23" s="197"/>
      <c r="AV23" s="197"/>
      <c r="AW23" s="197"/>
      <c r="AX23" s="197"/>
      <c r="AY23" s="197"/>
      <c r="AZ23" s="197"/>
      <c r="BA23" s="197"/>
      <c r="BB23" s="197">
        <v>5</v>
      </c>
      <c r="BC23" s="197"/>
      <c r="BD23" s="197"/>
      <c r="BE23" s="197"/>
      <c r="BF23" s="197"/>
      <c r="BG23" s="198"/>
      <c r="BH23" s="205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</row>
    <row r="24" spans="1:71" ht="30" customHeight="1">
      <c r="A24" s="1">
        <v>35</v>
      </c>
      <c r="B24" s="3" t="s">
        <v>160</v>
      </c>
      <c r="C24" s="76"/>
      <c r="D24" s="73"/>
      <c r="E24" s="73" t="s">
        <v>39</v>
      </c>
      <c r="F24" s="73"/>
      <c r="G24" s="73"/>
      <c r="H24" s="73"/>
      <c r="I24" s="77"/>
      <c r="J24" s="76" t="s">
        <v>126</v>
      </c>
      <c r="K24" s="73">
        <v>5</v>
      </c>
      <c r="L24" s="77"/>
      <c r="M24" s="83"/>
      <c r="N24" s="72"/>
      <c r="O24" s="72"/>
      <c r="P24" s="72"/>
      <c r="Q24" s="84"/>
      <c r="R24" s="88"/>
      <c r="S24" s="71"/>
      <c r="T24" s="71"/>
      <c r="U24" s="71"/>
      <c r="V24" s="71"/>
      <c r="W24" s="93"/>
      <c r="X24" s="73"/>
      <c r="Y24" s="71">
        <v>1</v>
      </c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82"/>
      <c r="AO24" s="71">
        <v>3</v>
      </c>
      <c r="AP24" s="71"/>
      <c r="AQ24" s="81"/>
      <c r="AR24" s="88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81"/>
      <c r="BH24" s="89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</row>
    <row r="25" spans="1:71" ht="29.65" customHeight="1">
      <c r="A25" s="1">
        <v>36</v>
      </c>
      <c r="B25" s="182" t="s">
        <v>161</v>
      </c>
      <c r="C25" s="207"/>
      <c r="D25" s="206" t="s">
        <v>39</v>
      </c>
      <c r="E25" s="206"/>
      <c r="F25" s="206"/>
      <c r="G25" s="206" t="s">
        <v>39</v>
      </c>
      <c r="H25" s="206"/>
      <c r="I25" s="208"/>
      <c r="J25" s="207" t="s">
        <v>142</v>
      </c>
      <c r="K25" s="206">
        <v>5</v>
      </c>
      <c r="L25" s="208"/>
      <c r="M25" s="199"/>
      <c r="N25" s="200"/>
      <c r="O25" s="200"/>
      <c r="P25" s="200"/>
      <c r="Q25" s="201"/>
      <c r="R25" s="196">
        <v>2</v>
      </c>
      <c r="S25" s="197"/>
      <c r="T25" s="197"/>
      <c r="U25" s="197">
        <v>1</v>
      </c>
      <c r="V25" s="197"/>
      <c r="W25" s="197"/>
      <c r="X25" s="209"/>
      <c r="Y25" s="210"/>
      <c r="Z25" s="210"/>
      <c r="AA25" s="210"/>
      <c r="AB25" s="210"/>
      <c r="AC25" s="210"/>
      <c r="AD25" s="210"/>
      <c r="AE25" s="210"/>
      <c r="AF25" s="210"/>
      <c r="AG25" s="210"/>
      <c r="AH25" s="210"/>
      <c r="AI25" s="210"/>
      <c r="AJ25" s="210"/>
      <c r="AK25" s="210"/>
      <c r="AL25" s="210"/>
      <c r="AM25" s="210"/>
      <c r="AN25" s="197"/>
      <c r="AO25" s="197"/>
      <c r="AP25" s="197"/>
      <c r="AQ25" s="198"/>
      <c r="AR25" s="196"/>
      <c r="AS25" s="197"/>
      <c r="AT25" s="197"/>
      <c r="AU25" s="197"/>
      <c r="AV25" s="197"/>
      <c r="AW25" s="197"/>
      <c r="AX25" s="197"/>
      <c r="AY25" s="197"/>
      <c r="AZ25" s="197"/>
      <c r="BA25" s="197"/>
      <c r="BB25" s="197"/>
      <c r="BC25" s="197"/>
      <c r="BD25" s="197">
        <v>9</v>
      </c>
      <c r="BE25" s="197"/>
      <c r="BF25" s="197"/>
      <c r="BG25" s="198"/>
      <c r="BH25" s="205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</row>
    <row r="26" spans="1:71" ht="29.65" customHeight="1">
      <c r="A26" s="1">
        <v>37</v>
      </c>
      <c r="B26" s="3" t="s">
        <v>162</v>
      </c>
      <c r="C26" s="76"/>
      <c r="D26" s="73" t="s">
        <v>39</v>
      </c>
      <c r="E26" s="73"/>
      <c r="F26" s="73"/>
      <c r="G26" s="73" t="s">
        <v>39</v>
      </c>
      <c r="H26" s="73"/>
      <c r="I26" s="77"/>
      <c r="J26" s="76" t="s">
        <v>142</v>
      </c>
      <c r="K26" s="73">
        <v>5</v>
      </c>
      <c r="L26" s="77"/>
      <c r="M26" s="83"/>
      <c r="N26" s="72"/>
      <c r="O26" s="72"/>
      <c r="P26" s="72"/>
      <c r="Q26" s="84"/>
      <c r="R26" s="88">
        <v>1</v>
      </c>
      <c r="S26" s="71"/>
      <c r="T26" s="71"/>
      <c r="U26" s="71">
        <v>1</v>
      </c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81"/>
      <c r="AR26" s="88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>
        <v>11</v>
      </c>
      <c r="BE26" s="71"/>
      <c r="BF26" s="71"/>
      <c r="BG26" s="81"/>
      <c r="BH26" s="89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</row>
    <row r="27" spans="1:71" ht="29.65" customHeight="1">
      <c r="A27" s="1">
        <v>38</v>
      </c>
      <c r="B27" s="182" t="s">
        <v>161</v>
      </c>
      <c r="C27" s="207"/>
      <c r="D27" s="206" t="s">
        <v>39</v>
      </c>
      <c r="E27" s="206"/>
      <c r="F27" s="206"/>
      <c r="G27" s="206" t="s">
        <v>39</v>
      </c>
      <c r="H27" s="206"/>
      <c r="I27" s="208"/>
      <c r="J27" s="207" t="s">
        <v>142</v>
      </c>
      <c r="K27" s="206">
        <v>5</v>
      </c>
      <c r="L27" s="208"/>
      <c r="M27" s="199"/>
      <c r="N27" s="200"/>
      <c r="O27" s="200"/>
      <c r="P27" s="200"/>
      <c r="Q27" s="201"/>
      <c r="R27" s="196"/>
      <c r="S27" s="197"/>
      <c r="T27" s="197"/>
      <c r="U27" s="197"/>
      <c r="V27" s="197"/>
      <c r="W27" s="197"/>
      <c r="X27" s="197"/>
      <c r="Y27" s="197"/>
      <c r="Z27" s="197"/>
      <c r="AA27" s="197"/>
      <c r="AB27" s="197">
        <v>1</v>
      </c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8"/>
      <c r="AR27" s="196"/>
      <c r="AS27" s="197"/>
      <c r="AT27" s="197"/>
      <c r="AU27" s="197"/>
      <c r="AV27" s="197"/>
      <c r="AW27" s="197"/>
      <c r="AX27" s="197"/>
      <c r="AY27" s="197"/>
      <c r="AZ27" s="197"/>
      <c r="BA27" s="204"/>
      <c r="BB27" s="197"/>
      <c r="BC27" s="197"/>
      <c r="BD27" s="197"/>
      <c r="BE27" s="197"/>
      <c r="BF27" s="197"/>
      <c r="BG27" s="198"/>
      <c r="BH27" s="205"/>
      <c r="BI27" s="1"/>
      <c r="BJ27" s="1"/>
      <c r="BK27" s="2"/>
      <c r="BL27" s="1"/>
      <c r="BM27" s="2"/>
      <c r="BN27" s="1"/>
      <c r="BO27" s="1"/>
      <c r="BP27" s="1"/>
      <c r="BQ27" s="1"/>
      <c r="BR27" s="1"/>
      <c r="BS27" s="1"/>
    </row>
    <row r="28" spans="1:71" ht="29.65" customHeight="1">
      <c r="A28" s="1">
        <v>39</v>
      </c>
      <c r="B28" s="3" t="s">
        <v>163</v>
      </c>
      <c r="C28" s="76"/>
      <c r="D28" s="73" t="s">
        <v>39</v>
      </c>
      <c r="E28" s="73"/>
      <c r="F28" s="73"/>
      <c r="G28" s="73" t="s">
        <v>39</v>
      </c>
      <c r="H28" s="73"/>
      <c r="I28" s="77"/>
      <c r="J28" s="76" t="s">
        <v>142</v>
      </c>
      <c r="K28" s="73">
        <v>5</v>
      </c>
      <c r="L28" s="77"/>
      <c r="M28" s="83"/>
      <c r="N28" s="72"/>
      <c r="O28" s="72"/>
      <c r="P28" s="72"/>
      <c r="Q28" s="84"/>
      <c r="R28" s="88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>
        <v>1</v>
      </c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81"/>
      <c r="AR28" s="88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81"/>
      <c r="BH28" s="89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</row>
    <row r="29" spans="1:71" ht="29.65" customHeight="1">
      <c r="A29" s="1">
        <v>40</v>
      </c>
      <c r="B29" s="182" t="s">
        <v>164</v>
      </c>
      <c r="C29" s="207" t="s">
        <v>39</v>
      </c>
      <c r="D29" s="206"/>
      <c r="E29" s="206"/>
      <c r="F29" s="206"/>
      <c r="G29" s="206" t="s">
        <v>39</v>
      </c>
      <c r="H29" s="206"/>
      <c r="I29" s="208"/>
      <c r="J29" s="207" t="s">
        <v>142</v>
      </c>
      <c r="K29" s="206">
        <v>10</v>
      </c>
      <c r="L29" s="208"/>
      <c r="M29" s="199"/>
      <c r="N29" s="200"/>
      <c r="O29" s="200"/>
      <c r="P29" s="200"/>
      <c r="Q29" s="201"/>
      <c r="R29" s="196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AQ29" s="198"/>
      <c r="AR29" s="196"/>
      <c r="AS29" s="197"/>
      <c r="AT29" s="197"/>
      <c r="AU29" s="197"/>
      <c r="AV29" s="197"/>
      <c r="AW29" s="197"/>
      <c r="AX29" s="197"/>
      <c r="AY29" s="197"/>
      <c r="AZ29" s="197"/>
      <c r="BA29" s="197"/>
      <c r="BB29" s="197"/>
      <c r="BC29" s="197"/>
      <c r="BD29" s="197"/>
      <c r="BE29" s="197"/>
      <c r="BF29" s="197"/>
      <c r="BG29" s="198"/>
      <c r="BH29" s="205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</row>
    <row r="30" spans="1:71" ht="29.65" customHeight="1">
      <c r="A30" s="1">
        <v>41</v>
      </c>
      <c r="B30" s="3" t="s">
        <v>165</v>
      </c>
      <c r="C30" s="76" t="s">
        <v>39</v>
      </c>
      <c r="D30" s="73"/>
      <c r="E30" s="73"/>
      <c r="F30" s="73"/>
      <c r="G30" s="73" t="s">
        <v>39</v>
      </c>
      <c r="H30" s="73"/>
      <c r="I30" s="77"/>
      <c r="J30" s="76" t="s">
        <v>142</v>
      </c>
      <c r="K30" s="73">
        <v>10</v>
      </c>
      <c r="L30" s="77"/>
      <c r="M30" s="83"/>
      <c r="N30" s="72"/>
      <c r="O30" s="72"/>
      <c r="P30" s="72"/>
      <c r="Q30" s="84"/>
      <c r="R30" s="88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81"/>
      <c r="AR30" s="88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81"/>
      <c r="BH30" s="89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</row>
    <row r="31" spans="1:71" ht="30" customHeight="1">
      <c r="A31" s="1">
        <v>42</v>
      </c>
      <c r="B31" s="182" t="s">
        <v>165</v>
      </c>
      <c r="C31" s="207"/>
      <c r="D31" s="206"/>
      <c r="E31" s="206" t="s">
        <v>39</v>
      </c>
      <c r="F31" s="206"/>
      <c r="G31" s="206"/>
      <c r="H31" s="206"/>
      <c r="I31" s="208"/>
      <c r="J31" s="207" t="s">
        <v>126</v>
      </c>
      <c r="K31" s="206">
        <v>5</v>
      </c>
      <c r="L31" s="208"/>
      <c r="M31" s="199"/>
      <c r="N31" s="200"/>
      <c r="O31" s="200"/>
      <c r="P31" s="200"/>
      <c r="Q31" s="201"/>
      <c r="R31" s="196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>
        <v>1</v>
      </c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8"/>
      <c r="AR31" s="196"/>
      <c r="AS31" s="197"/>
      <c r="AT31" s="197"/>
      <c r="AU31" s="197"/>
      <c r="AV31" s="197"/>
      <c r="AW31" s="197"/>
      <c r="AX31" s="197"/>
      <c r="AY31" s="197"/>
      <c r="AZ31" s="197"/>
      <c r="BA31" s="197"/>
      <c r="BB31" s="197"/>
      <c r="BC31" s="197"/>
      <c r="BD31" s="197"/>
      <c r="BE31" s="197"/>
      <c r="BF31" s="197"/>
      <c r="BG31" s="198"/>
      <c r="BH31" s="205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</row>
    <row r="32" spans="1:71" ht="29.65" customHeight="1">
      <c r="A32" s="1">
        <v>43</v>
      </c>
      <c r="C32" s="76"/>
      <c r="D32" s="73"/>
      <c r="E32" s="73"/>
      <c r="F32" s="73"/>
      <c r="G32" s="73"/>
      <c r="H32" s="73"/>
      <c r="I32" s="77"/>
      <c r="J32" s="76"/>
      <c r="K32" s="73"/>
      <c r="L32" s="77"/>
      <c r="M32" s="83"/>
      <c r="N32" s="72"/>
      <c r="O32" s="72"/>
      <c r="P32" s="72"/>
      <c r="Q32" s="84"/>
      <c r="R32" s="88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>
        <v>1</v>
      </c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>
        <v>1</v>
      </c>
      <c r="AQ32" s="81"/>
      <c r="AR32" s="88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81"/>
      <c r="BH32" s="89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</row>
    <row r="33" spans="1:75" ht="30.6" customHeight="1">
      <c r="A33" s="1">
        <v>44</v>
      </c>
      <c r="B33" s="182" t="s">
        <v>166</v>
      </c>
      <c r="C33" s="207"/>
      <c r="D33" s="206" t="s">
        <v>39</v>
      </c>
      <c r="E33" s="206"/>
      <c r="F33" s="206"/>
      <c r="G33" s="206" t="s">
        <v>39</v>
      </c>
      <c r="H33" s="206"/>
      <c r="I33" s="208"/>
      <c r="J33" s="207" t="s">
        <v>122</v>
      </c>
      <c r="K33" s="206">
        <v>5</v>
      </c>
      <c r="L33" s="208"/>
      <c r="M33" s="199"/>
      <c r="N33" s="200"/>
      <c r="O33" s="200"/>
      <c r="P33" s="200"/>
      <c r="Q33" s="201"/>
      <c r="R33" s="196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>
        <v>1</v>
      </c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8"/>
      <c r="AR33" s="196"/>
      <c r="AS33" s="197"/>
      <c r="AT33" s="197"/>
      <c r="AU33" s="197"/>
      <c r="AV33" s="197"/>
      <c r="AW33" s="197"/>
      <c r="AX33" s="197"/>
      <c r="AY33" s="197"/>
      <c r="AZ33" s="197"/>
      <c r="BA33" s="197"/>
      <c r="BB33" s="197"/>
      <c r="BC33" s="197"/>
      <c r="BD33" s="197"/>
      <c r="BE33" s="197"/>
      <c r="BF33" s="197"/>
      <c r="BG33" s="198"/>
      <c r="BH33" s="205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</row>
    <row r="34" spans="1:75" ht="29.65" customHeight="1">
      <c r="A34" s="1">
        <v>45</v>
      </c>
      <c r="B34" s="3" t="s">
        <v>165</v>
      </c>
      <c r="C34" s="76" t="s">
        <v>39</v>
      </c>
      <c r="D34" s="73"/>
      <c r="E34" s="73"/>
      <c r="F34" s="73"/>
      <c r="G34" s="73" t="s">
        <v>39</v>
      </c>
      <c r="H34" s="73"/>
      <c r="I34" s="77"/>
      <c r="J34" s="76" t="s">
        <v>122</v>
      </c>
      <c r="K34" s="73">
        <v>10</v>
      </c>
      <c r="L34" s="77"/>
      <c r="M34" s="83"/>
      <c r="N34" s="72"/>
      <c r="O34" s="72"/>
      <c r="P34" s="72"/>
      <c r="Q34" s="84"/>
      <c r="R34" s="88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>
        <v>1</v>
      </c>
      <c r="AL34" s="71"/>
      <c r="AM34" s="71"/>
      <c r="AN34" s="71"/>
      <c r="AO34" s="71"/>
      <c r="AP34" s="71"/>
      <c r="AQ34" s="81"/>
      <c r="AR34" s="88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81"/>
      <c r="BH34" s="89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</row>
    <row r="35" spans="1:75" ht="29.65" customHeight="1">
      <c r="A35" s="1">
        <v>46</v>
      </c>
      <c r="B35" s="182" t="s">
        <v>167</v>
      </c>
      <c r="C35" s="207"/>
      <c r="D35" s="206" t="s">
        <v>39</v>
      </c>
      <c r="E35" s="206"/>
      <c r="F35" s="206"/>
      <c r="G35" s="206" t="s">
        <v>39</v>
      </c>
      <c r="H35" s="206"/>
      <c r="I35" s="208"/>
      <c r="J35" s="207" t="s">
        <v>122</v>
      </c>
      <c r="K35" s="206">
        <v>5</v>
      </c>
      <c r="L35" s="208"/>
      <c r="M35" s="199"/>
      <c r="N35" s="200"/>
      <c r="O35" s="200"/>
      <c r="P35" s="200"/>
      <c r="Q35" s="201"/>
      <c r="R35" s="196">
        <v>1</v>
      </c>
      <c r="S35" s="197"/>
      <c r="T35" s="197"/>
      <c r="U35" s="197">
        <v>1</v>
      </c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  <c r="AP35" s="197"/>
      <c r="AQ35" s="198"/>
      <c r="AR35" s="196"/>
      <c r="AS35" s="197"/>
      <c r="AT35" s="197"/>
      <c r="AU35" s="197"/>
      <c r="AV35" s="197"/>
      <c r="AW35" s="197"/>
      <c r="AX35" s="197"/>
      <c r="AY35" s="197"/>
      <c r="AZ35" s="197"/>
      <c r="BA35" s="197"/>
      <c r="BB35" s="197"/>
      <c r="BC35" s="197"/>
      <c r="BD35" s="197"/>
      <c r="BE35" s="197"/>
      <c r="BF35" s="197"/>
      <c r="BG35" s="198"/>
      <c r="BH35" s="205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</row>
    <row r="36" spans="1:75" ht="29.65" customHeight="1">
      <c r="A36" s="1">
        <v>47</v>
      </c>
      <c r="B36" s="3" t="s">
        <v>165</v>
      </c>
      <c r="C36" s="76"/>
      <c r="D36" s="73" t="s">
        <v>39</v>
      </c>
      <c r="E36" s="73"/>
      <c r="F36" s="73"/>
      <c r="G36" s="73" t="s">
        <v>39</v>
      </c>
      <c r="H36" s="73"/>
      <c r="I36" s="77"/>
      <c r="J36" s="76" t="s">
        <v>122</v>
      </c>
      <c r="K36" s="73">
        <v>5</v>
      </c>
      <c r="L36" s="77"/>
      <c r="M36" s="83"/>
      <c r="N36" s="72"/>
      <c r="O36" s="72"/>
      <c r="P36" s="72"/>
      <c r="Q36" s="84"/>
      <c r="R36" s="88">
        <v>2</v>
      </c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>
        <v>1</v>
      </c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81"/>
      <c r="AR36" s="88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81"/>
      <c r="BH36" s="89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</row>
    <row r="37" spans="1:75" ht="29.65" customHeight="1">
      <c r="A37" s="1">
        <v>48</v>
      </c>
      <c r="B37" s="182" t="s">
        <v>168</v>
      </c>
      <c r="C37" s="207"/>
      <c r="D37" s="206" t="s">
        <v>39</v>
      </c>
      <c r="E37" s="206"/>
      <c r="F37" s="206"/>
      <c r="G37" s="206" t="s">
        <v>39</v>
      </c>
      <c r="H37" s="206"/>
      <c r="I37" s="208"/>
      <c r="J37" s="207" t="s">
        <v>122</v>
      </c>
      <c r="K37" s="206">
        <v>5</v>
      </c>
      <c r="L37" s="208"/>
      <c r="M37" s="199"/>
      <c r="N37" s="200"/>
      <c r="O37" s="200"/>
      <c r="P37" s="200"/>
      <c r="Q37" s="201"/>
      <c r="R37" s="196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>
        <v>1</v>
      </c>
      <c r="AK37" s="197"/>
      <c r="AL37" s="197"/>
      <c r="AM37" s="197"/>
      <c r="AN37" s="197"/>
      <c r="AO37" s="197"/>
      <c r="AP37" s="197"/>
      <c r="AQ37" s="198"/>
      <c r="AR37" s="196"/>
      <c r="AS37" s="197"/>
      <c r="AT37" s="197"/>
      <c r="AU37" s="197"/>
      <c r="AV37" s="197"/>
      <c r="AW37" s="197"/>
      <c r="AX37" s="197"/>
      <c r="AY37" s="197"/>
      <c r="AZ37" s="197"/>
      <c r="BA37" s="197"/>
      <c r="BB37" s="197"/>
      <c r="BC37" s="197"/>
      <c r="BD37" s="197"/>
      <c r="BE37" s="197"/>
      <c r="BF37" s="197"/>
      <c r="BG37" s="198"/>
      <c r="BH37" s="205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</row>
    <row r="38" spans="1:75" ht="29.65" customHeight="1">
      <c r="A38" s="1">
        <v>49</v>
      </c>
      <c r="C38" s="76"/>
      <c r="D38" s="73"/>
      <c r="E38" s="73"/>
      <c r="F38" s="73"/>
      <c r="G38" s="73"/>
      <c r="H38" s="73"/>
      <c r="I38" s="77"/>
      <c r="J38" s="76"/>
      <c r="K38" s="73"/>
      <c r="L38" s="77"/>
      <c r="M38" s="83"/>
      <c r="N38" s="72"/>
      <c r="O38" s="72"/>
      <c r="P38" s="72"/>
      <c r="Q38" s="84"/>
      <c r="R38" s="88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81"/>
      <c r="AR38" s="88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81"/>
      <c r="BH38" s="89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</row>
    <row r="39" spans="1:75" ht="29.65" customHeight="1" thickBot="1">
      <c r="A39" s="1">
        <v>50</v>
      </c>
      <c r="B39" s="182"/>
      <c r="C39" s="211"/>
      <c r="D39" s="212"/>
      <c r="E39" s="212"/>
      <c r="F39" s="212"/>
      <c r="G39" s="212"/>
      <c r="H39" s="212"/>
      <c r="I39" s="213"/>
      <c r="J39" s="211"/>
      <c r="K39" s="212"/>
      <c r="L39" s="213"/>
      <c r="M39" s="214"/>
      <c r="N39" s="215"/>
      <c r="O39" s="215"/>
      <c r="P39" s="215"/>
      <c r="Q39" s="216"/>
      <c r="R39" s="217"/>
      <c r="S39" s="218"/>
      <c r="T39" s="218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18"/>
      <c r="AM39" s="218"/>
      <c r="AN39" s="218"/>
      <c r="AO39" s="218"/>
      <c r="AP39" s="218"/>
      <c r="AQ39" s="219"/>
      <c r="AR39" s="217"/>
      <c r="AS39" s="218"/>
      <c r="AT39" s="218"/>
      <c r="AU39" s="218"/>
      <c r="AV39" s="218"/>
      <c r="AW39" s="218"/>
      <c r="AX39" s="218"/>
      <c r="AY39" s="218"/>
      <c r="AZ39" s="218"/>
      <c r="BA39" s="218"/>
      <c r="BB39" s="218"/>
      <c r="BC39" s="218"/>
      <c r="BD39" s="218"/>
      <c r="BE39" s="218"/>
      <c r="BF39" s="218"/>
      <c r="BG39" s="219"/>
      <c r="BH39" s="220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</row>
    <row r="40" spans="1:75" ht="21" thickBot="1">
      <c r="A40" s="1"/>
      <c r="B40" s="69" t="s">
        <v>144</v>
      </c>
      <c r="C40" s="78"/>
      <c r="D40" s="79"/>
      <c r="E40" s="79"/>
      <c r="F40" s="79"/>
      <c r="G40" s="79"/>
      <c r="H40" s="79"/>
      <c r="I40" s="80"/>
      <c r="J40" s="78"/>
      <c r="K40" s="79"/>
      <c r="L40" s="80"/>
      <c r="M40" s="85">
        <f>SUM(M15:M39)</f>
        <v>0</v>
      </c>
      <c r="N40" s="86">
        <f>SUM(N15:N39)</f>
        <v>0</v>
      </c>
      <c r="O40" s="86">
        <f>SUM(O15:O39)</f>
        <v>0</v>
      </c>
      <c r="P40" s="86">
        <f>SUM(P15:P39)</f>
        <v>0</v>
      </c>
      <c r="Q40" s="87">
        <f>SUM(Q15:Q39)</f>
        <v>0</v>
      </c>
      <c r="R40" s="85">
        <v>7</v>
      </c>
      <c r="S40" s="86">
        <f>SUM(S15:S39)</f>
        <v>0</v>
      </c>
      <c r="T40" s="86"/>
      <c r="U40" s="86">
        <f>SUM(U15:U39)</f>
        <v>5</v>
      </c>
      <c r="V40" s="86"/>
      <c r="W40" s="86"/>
      <c r="X40" s="86"/>
      <c r="Y40" s="86">
        <f>SUM(Y15:Y39)</f>
        <v>2</v>
      </c>
      <c r="Z40" s="86">
        <v>9</v>
      </c>
      <c r="AA40" s="86">
        <f>SUM(AA15:AA39)</f>
        <v>0</v>
      </c>
      <c r="AB40" s="86">
        <f>SUM(AB15:AB39)</f>
        <v>1</v>
      </c>
      <c r="AC40" s="86">
        <f>SUM(AC15:AC39)</f>
        <v>6</v>
      </c>
      <c r="AD40" s="86">
        <f>SUM(AD15:AD39)</f>
        <v>0</v>
      </c>
      <c r="AE40" s="86">
        <v>1</v>
      </c>
      <c r="AF40" s="86"/>
      <c r="AG40" s="86"/>
      <c r="AH40" s="86"/>
      <c r="AI40" s="86"/>
      <c r="AJ40" s="86"/>
      <c r="AK40" s="86"/>
      <c r="AL40" s="86"/>
      <c r="AM40" s="86"/>
      <c r="AN40" s="86"/>
      <c r="AO40" s="86">
        <f>SUM(AO15:AO39)</f>
        <v>6</v>
      </c>
      <c r="AP40" s="86">
        <f>SUM(AP15:AP39)</f>
        <v>1</v>
      </c>
      <c r="AQ40" s="87"/>
      <c r="AR40" s="85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6"/>
      <c r="BD40" s="86"/>
      <c r="BE40" s="86"/>
      <c r="BF40" s="86"/>
      <c r="BG40" s="87"/>
      <c r="BH40" s="90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</row>
    <row r="41" spans="1:75">
      <c r="A41" s="8"/>
      <c r="B41" s="68" t="s">
        <v>145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62"/>
      <c r="N41" s="63"/>
      <c r="O41" s="64"/>
      <c r="P41" s="63"/>
      <c r="Q41" s="65"/>
      <c r="R41" s="60"/>
      <c r="S41" s="60"/>
      <c r="T41" s="60"/>
      <c r="U41" s="60"/>
      <c r="V41" s="60"/>
      <c r="W41" s="60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6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</row>
    <row r="42" spans="1:75">
      <c r="A42" s="8"/>
      <c r="B42" s="13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0"/>
      <c r="N42" s="10"/>
      <c r="O42" s="10"/>
      <c r="P42" s="10"/>
      <c r="Q42" s="11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5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</row>
    <row r="43" spans="1:75">
      <c r="A43" s="8"/>
      <c r="B43" s="16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0"/>
      <c r="N43" s="10"/>
      <c r="O43" s="10"/>
      <c r="P43" s="10"/>
      <c r="Q43" s="11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5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</row>
    <row r="44" spans="1:75">
      <c r="A44" s="8"/>
      <c r="B44" s="16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0"/>
      <c r="N44" s="10"/>
      <c r="O44" s="10"/>
      <c r="P44" s="10"/>
      <c r="Q44" s="11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5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</row>
    <row r="45" spans="1:75">
      <c r="A45" s="1"/>
      <c r="Q45" s="2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</row>
    <row r="46" spans="1:75">
      <c r="A46" s="1"/>
      <c r="Q46" s="2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</row>
    <row r="47" spans="1:75">
      <c r="A47" s="1"/>
      <c r="Q47" s="2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</row>
    <row r="48" spans="1: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2"/>
      <c r="N48" s="2"/>
      <c r="O48" s="2"/>
      <c r="P48" s="2"/>
      <c r="Q48" s="2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</row>
    <row r="49" spans="1:7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2"/>
      <c r="N49" s="2"/>
      <c r="O49" s="2"/>
      <c r="P49" s="2"/>
      <c r="Q49" s="2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</row>
    <row r="50" spans="1:7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2"/>
      <c r="N50" s="2"/>
      <c r="O50" s="2"/>
      <c r="P50" s="2"/>
      <c r="Q50" s="2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</row>
    <row r="51" spans="1:7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2"/>
      <c r="N51" s="2"/>
      <c r="O51" s="2"/>
      <c r="P51" s="2"/>
      <c r="Q51" s="2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</row>
    <row r="52" spans="1:7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2"/>
      <c r="N52" s="2"/>
      <c r="O52" s="2"/>
      <c r="P52" s="2"/>
      <c r="Q52" s="2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</row>
    <row r="53" spans="1:7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2"/>
      <c r="N53" s="2"/>
      <c r="O53" s="2"/>
      <c r="P53" s="2"/>
      <c r="Q53" s="2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</row>
    <row r="54" spans="1:7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2"/>
      <c r="N54" s="2"/>
      <c r="O54" s="2"/>
      <c r="P54" s="2"/>
      <c r="Q54" s="2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</row>
    <row r="55" spans="1:7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2"/>
      <c r="N55" s="2"/>
      <c r="O55" s="2"/>
      <c r="P55" s="2"/>
      <c r="Q55" s="2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</row>
    <row r="56" spans="1:7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2"/>
      <c r="N56" s="2"/>
      <c r="O56" s="2"/>
      <c r="P56" s="2"/>
      <c r="Q56" s="2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</row>
    <row r="57" spans="1:7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2"/>
      <c r="N57" s="2"/>
      <c r="O57" s="2"/>
      <c r="P57" s="2"/>
      <c r="Q57" s="2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</row>
    <row r="58" spans="1:7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2"/>
      <c r="N58" s="2"/>
      <c r="O58" s="2"/>
      <c r="P58" s="2"/>
      <c r="Q58" s="2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</row>
    <row r="59" spans="1:7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2"/>
      <c r="N59" s="2"/>
      <c r="O59" s="2"/>
      <c r="P59" s="2"/>
      <c r="Q59" s="2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</row>
    <row r="60" spans="1:7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2"/>
      <c r="N60" s="2"/>
      <c r="O60" s="2"/>
      <c r="P60" s="2"/>
      <c r="Q60" s="2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</row>
    <row r="61" spans="1:7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2"/>
      <c r="N61" s="2"/>
      <c r="O61" s="2"/>
      <c r="P61" s="2"/>
      <c r="Q61" s="2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</row>
    <row r="62" spans="1:7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2"/>
      <c r="N62" s="2"/>
      <c r="O62" s="2"/>
      <c r="P62" s="2"/>
      <c r="Q62" s="2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</row>
    <row r="63" spans="1:7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2"/>
      <c r="N63" s="2"/>
      <c r="O63" s="2"/>
      <c r="P63" s="2"/>
      <c r="Q63" s="2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</row>
    <row r="64" spans="1:7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2"/>
      <c r="N64" s="2"/>
      <c r="O64" s="2"/>
      <c r="P64" s="2"/>
      <c r="Q64" s="2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</row>
    <row r="65" spans="1:7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2"/>
      <c r="N65" s="2"/>
      <c r="O65" s="2"/>
      <c r="P65" s="2"/>
      <c r="Q65" s="2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</row>
    <row r="66" spans="1:7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2"/>
      <c r="N66" s="2"/>
      <c r="O66" s="2"/>
      <c r="P66" s="2"/>
      <c r="Q66" s="2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</row>
    <row r="67" spans="1:7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2"/>
      <c r="N67" s="2"/>
      <c r="O67" s="2"/>
      <c r="P67" s="2"/>
      <c r="Q67" s="2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</row>
    <row r="68" spans="1:7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2"/>
      <c r="N68" s="2"/>
      <c r="O68" s="2"/>
      <c r="P68" s="2"/>
      <c r="Q68" s="2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</row>
    <row r="69" spans="1:7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2"/>
      <c r="N69" s="2"/>
      <c r="O69" s="2"/>
      <c r="P69" s="2"/>
      <c r="Q69" s="2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</row>
    <row r="70" spans="1:7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2"/>
      <c r="N70" s="2"/>
      <c r="O70" s="2"/>
      <c r="P70" s="2"/>
      <c r="Q70" s="2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</row>
    <row r="71" spans="1: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2"/>
      <c r="N71" s="2"/>
      <c r="O71" s="2"/>
      <c r="P71" s="2"/>
      <c r="Q71" s="2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</row>
    <row r="72" spans="1:7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2"/>
      <c r="N72" s="2"/>
      <c r="O72" s="2"/>
      <c r="P72" s="2"/>
      <c r="Q72" s="2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</row>
    <row r="73" spans="1:7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2"/>
      <c r="N73" s="2"/>
      <c r="O73" s="2"/>
      <c r="P73" s="2"/>
      <c r="Q73" s="2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</row>
    <row r="74" spans="1:7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2"/>
      <c r="N74" s="2"/>
      <c r="O74" s="2"/>
      <c r="P74" s="2"/>
      <c r="Q74" s="2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</row>
    <row r="75" spans="1:7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2"/>
      <c r="N75" s="2"/>
      <c r="O75" s="2"/>
      <c r="P75" s="2"/>
      <c r="Q75" s="2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</row>
    <row r="76" spans="1:7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2"/>
      <c r="N76" s="2"/>
      <c r="O76" s="2"/>
      <c r="P76" s="2"/>
      <c r="Q76" s="2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</row>
    <row r="77" spans="1:7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"/>
      <c r="N77" s="2"/>
      <c r="O77" s="2"/>
      <c r="P77" s="2"/>
      <c r="Q77" s="2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</row>
    <row r="78" spans="1:7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2"/>
      <c r="N78" s="2"/>
      <c r="O78" s="2"/>
      <c r="P78" s="2"/>
      <c r="Q78" s="2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</row>
    <row r="79" spans="1:7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2"/>
      <c r="N79" s="2"/>
      <c r="O79" s="2"/>
      <c r="P79" s="2"/>
      <c r="Q79" s="2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</row>
    <row r="80" spans="1:7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2"/>
      <c r="N80" s="2"/>
      <c r="O80" s="2"/>
      <c r="P80" s="2"/>
      <c r="Q80" s="2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</row>
    <row r="81" spans="1:7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2"/>
      <c r="N81" s="2"/>
      <c r="O81" s="2"/>
      <c r="P81" s="2"/>
      <c r="Q81" s="2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</row>
    <row r="82" spans="1:7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"/>
      <c r="N82" s="2"/>
      <c r="O82" s="2"/>
      <c r="P82" s="2"/>
      <c r="Q82" s="2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</row>
    <row r="83" spans="1:7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2"/>
      <c r="N83" s="2"/>
      <c r="O83" s="2"/>
      <c r="P83" s="2"/>
      <c r="Q83" s="2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</row>
    <row r="84" spans="1:7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2"/>
      <c r="N84" s="2"/>
      <c r="O84" s="2"/>
      <c r="P84" s="2"/>
      <c r="Q84" s="2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</row>
    <row r="85" spans="1:7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2"/>
      <c r="N85" s="2"/>
      <c r="O85" s="2"/>
      <c r="P85" s="2"/>
      <c r="Q85" s="2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</row>
    <row r="86" spans="1:7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2"/>
      <c r="N86" s="2"/>
      <c r="O86" s="2"/>
      <c r="P86" s="2"/>
      <c r="Q86" s="2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</row>
    <row r="87" spans="1:7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2"/>
      <c r="N87" s="2"/>
      <c r="O87" s="2"/>
      <c r="P87" s="2"/>
      <c r="Q87" s="2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</row>
    <row r="88" spans="1:7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2"/>
      <c r="N88" s="2"/>
      <c r="O88" s="2"/>
      <c r="P88" s="2"/>
      <c r="Q88" s="2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</row>
    <row r="89" spans="1:7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"/>
      <c r="N89" s="2"/>
      <c r="O89" s="2"/>
      <c r="P89" s="2"/>
      <c r="Q89" s="2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</row>
    <row r="90" spans="1:7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"/>
      <c r="N90" s="2"/>
      <c r="O90" s="2"/>
      <c r="P90" s="2"/>
      <c r="Q90" s="2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</row>
    <row r="91" spans="1:7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"/>
      <c r="N91" s="2"/>
      <c r="O91" s="2"/>
      <c r="P91" s="2"/>
      <c r="Q91" s="2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</row>
    <row r="92" spans="1:7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"/>
      <c r="N92" s="2"/>
      <c r="O92" s="2"/>
      <c r="P92" s="2"/>
      <c r="Q92" s="2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</row>
    <row r="93" spans="1:7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"/>
      <c r="N93" s="2"/>
      <c r="O93" s="2"/>
      <c r="P93" s="2"/>
      <c r="Q93" s="2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</row>
    <row r="94" spans="1:7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"/>
      <c r="N94" s="2"/>
      <c r="O94" s="2"/>
      <c r="P94" s="2"/>
      <c r="Q94" s="2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</row>
    <row r="95" spans="1:7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"/>
      <c r="N95" s="2"/>
      <c r="O95" s="2"/>
      <c r="P95" s="2"/>
      <c r="Q95" s="2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</row>
    <row r="96" spans="1:7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"/>
      <c r="N96" s="2"/>
      <c r="O96" s="2"/>
      <c r="P96" s="2"/>
      <c r="Q96" s="2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</row>
    <row r="97" spans="1:7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"/>
      <c r="N97" s="2"/>
      <c r="O97" s="2"/>
      <c r="P97" s="2"/>
      <c r="Q97" s="2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</row>
    <row r="98" spans="1:7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2"/>
      <c r="N98" s="2"/>
      <c r="O98" s="2"/>
      <c r="P98" s="2"/>
      <c r="Q98" s="2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</row>
  </sheetData>
  <mergeCells count="8">
    <mergeCell ref="AP7:AT8"/>
    <mergeCell ref="C12:F12"/>
    <mergeCell ref="C8:F8"/>
    <mergeCell ref="C6:F6"/>
    <mergeCell ref="C7:F7"/>
    <mergeCell ref="C9:F9"/>
    <mergeCell ref="C10:F10"/>
    <mergeCell ref="C11:F11"/>
  </mergeCells>
  <printOptions horizontalCentered="1" gridLines="1"/>
  <pageMargins left="0.17" right="0.16" top="0.42" bottom="0.17" header="0.17" footer="0.17"/>
  <pageSetup scale="42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M71"/>
  <sheetViews>
    <sheetView workbookViewId="0">
      <selection activeCell="D45" sqref="D45"/>
    </sheetView>
  </sheetViews>
  <sheetFormatPr defaultColWidth="8.7109375" defaultRowHeight="10.5"/>
  <cols>
    <col min="1" max="2" width="8.7109375" style="43"/>
    <col min="3" max="3" width="4.42578125" style="43" customWidth="1"/>
    <col min="4" max="4" width="13.7109375" style="43" customWidth="1"/>
    <col min="5" max="5" width="6.5703125" style="43" hidden="1" customWidth="1"/>
    <col min="6" max="6" width="6.140625" style="43" customWidth="1"/>
    <col min="7" max="7" width="4.42578125" style="43" customWidth="1"/>
    <col min="8" max="8" width="6.140625" style="43" customWidth="1"/>
    <col min="9" max="9" width="5" style="43" hidden="1" customWidth="1"/>
    <col min="10" max="10" width="4.42578125" style="43" customWidth="1"/>
    <col min="11" max="11" width="9.42578125" style="43" customWidth="1"/>
    <col min="12" max="16384" width="8.7109375" style="43"/>
  </cols>
  <sheetData>
    <row r="1" spans="3:13">
      <c r="J1" s="94"/>
      <c r="K1" s="94"/>
    </row>
    <row r="2" spans="3:13">
      <c r="M2" s="94"/>
    </row>
    <row r="3" spans="3:13">
      <c r="J3" s="94"/>
      <c r="K3" s="94"/>
    </row>
    <row r="4" spans="3:13">
      <c r="M4" s="94"/>
    </row>
    <row r="5" spans="3:13">
      <c r="J5" s="94"/>
      <c r="K5" s="95"/>
    </row>
    <row r="6" spans="3:13">
      <c r="M6" s="95"/>
    </row>
    <row r="7" spans="3:13">
      <c r="M7" s="95"/>
    </row>
    <row r="8" spans="3:13">
      <c r="M8" s="95"/>
    </row>
    <row r="9" spans="3:13">
      <c r="C9" s="43" t="s">
        <v>169</v>
      </c>
      <c r="K9" s="94" t="s">
        <v>19</v>
      </c>
      <c r="M9" s="95"/>
    </row>
    <row r="10" spans="3:13">
      <c r="C10" s="43" t="s">
        <v>170</v>
      </c>
      <c r="K10" s="94" t="s">
        <v>171</v>
      </c>
      <c r="M10" s="95"/>
    </row>
    <row r="12" spans="3:13" ht="11.25" thickBot="1"/>
    <row r="13" spans="3:13">
      <c r="D13" s="96" t="s">
        <v>42</v>
      </c>
      <c r="F13" s="97" t="str">
        <f>'Controller A(2)'!G6</f>
        <v>Amazon</v>
      </c>
      <c r="G13" s="98"/>
      <c r="H13" s="98"/>
      <c r="I13" s="98"/>
      <c r="J13" s="98"/>
      <c r="K13" s="99"/>
    </row>
    <row r="14" spans="3:13">
      <c r="D14" s="100" t="s">
        <v>4</v>
      </c>
      <c r="F14" s="101">
        <f>'Controller A(2)'!G9</f>
        <v>0</v>
      </c>
      <c r="G14" s="102"/>
      <c r="H14" s="102"/>
      <c r="I14" s="102"/>
      <c r="J14" s="102"/>
      <c r="K14" s="103"/>
    </row>
    <row r="15" spans="3:13" ht="11.25" thickBot="1">
      <c r="D15" s="104" t="s">
        <v>172</v>
      </c>
      <c r="F15" s="105" t="str">
        <f>'Controller A(2)'!G10</f>
        <v>9.25.2024</v>
      </c>
      <c r="G15" s="106"/>
      <c r="H15" s="106"/>
      <c r="I15" s="106"/>
      <c r="J15" s="106"/>
      <c r="K15" s="107"/>
    </row>
    <row r="18" spans="3:11">
      <c r="C18" s="108" t="s">
        <v>173</v>
      </c>
    </row>
    <row r="20" spans="3:11" ht="11.25" thickBot="1">
      <c r="C20" s="109" t="s">
        <v>174</v>
      </c>
      <c r="D20" s="109" t="s">
        <v>175</v>
      </c>
      <c r="E20" s="43" t="s">
        <v>176</v>
      </c>
      <c r="F20" s="109"/>
      <c r="G20" s="110" t="s">
        <v>177</v>
      </c>
      <c r="I20" s="109"/>
    </row>
    <row r="21" spans="3:11">
      <c r="C21" s="111">
        <f>'Controller A(2)'!R40</f>
        <v>7</v>
      </c>
      <c r="D21" s="112" t="s">
        <v>178</v>
      </c>
      <c r="E21" s="113">
        <v>2</v>
      </c>
      <c r="F21" s="114">
        <f t="shared" ref="F21:F35" si="0">C21*E21</f>
        <v>14</v>
      </c>
      <c r="G21" s="115" t="s">
        <v>179</v>
      </c>
      <c r="H21" s="116">
        <f>SUM(80/I21)*C21</f>
        <v>18.666666666666664</v>
      </c>
      <c r="I21" s="114">
        <v>30</v>
      </c>
      <c r="J21" s="117" t="s">
        <v>180</v>
      </c>
      <c r="K21" s="118">
        <f t="shared" ref="K21:K46" si="1">F21+H21</f>
        <v>32.666666666666664</v>
      </c>
    </row>
    <row r="22" spans="3:11">
      <c r="C22" s="119">
        <v>19</v>
      </c>
      <c r="D22" s="120" t="s">
        <v>181</v>
      </c>
      <c r="E22" s="121">
        <v>4.25</v>
      </c>
      <c r="F22" s="122">
        <f t="shared" si="0"/>
        <v>80.75</v>
      </c>
      <c r="G22" s="123" t="s">
        <v>179</v>
      </c>
      <c r="H22" s="124">
        <f>SUM(80/I22)*C22</f>
        <v>50.666666666666664</v>
      </c>
      <c r="I22" s="122">
        <v>30</v>
      </c>
      <c r="J22" s="125"/>
      <c r="K22" s="126">
        <f t="shared" si="1"/>
        <v>131.41666666666666</v>
      </c>
    </row>
    <row r="23" spans="3:11">
      <c r="C23" s="119">
        <f>'Controller A(2)'!T40</f>
        <v>0</v>
      </c>
      <c r="D23" s="120" t="s">
        <v>182</v>
      </c>
      <c r="E23" s="121">
        <v>10</v>
      </c>
      <c r="F23" s="122">
        <f t="shared" si="0"/>
        <v>0</v>
      </c>
      <c r="G23" s="123" t="s">
        <v>179</v>
      </c>
      <c r="H23" s="124">
        <f>SUM(80/I23)*C23</f>
        <v>0</v>
      </c>
      <c r="I23" s="122">
        <v>12</v>
      </c>
      <c r="J23" s="125" t="s">
        <v>180</v>
      </c>
      <c r="K23" s="126">
        <f t="shared" si="1"/>
        <v>0</v>
      </c>
    </row>
    <row r="24" spans="3:11">
      <c r="C24" s="119">
        <v>19</v>
      </c>
      <c r="D24" s="120" t="s">
        <v>183</v>
      </c>
      <c r="E24" s="121">
        <v>4</v>
      </c>
      <c r="F24" s="122">
        <f t="shared" si="0"/>
        <v>76</v>
      </c>
      <c r="G24" s="123" t="s">
        <v>179</v>
      </c>
      <c r="H24" s="124">
        <f>SUM(80/I24)*C24</f>
        <v>217.14285714285714</v>
      </c>
      <c r="I24" s="122">
        <v>7</v>
      </c>
      <c r="J24" s="125" t="s">
        <v>180</v>
      </c>
      <c r="K24" s="126">
        <f t="shared" si="1"/>
        <v>293.14285714285711</v>
      </c>
    </row>
    <row r="25" spans="3:11">
      <c r="C25" s="119">
        <f>'Controller A(2)'!V40</f>
        <v>0</v>
      </c>
      <c r="D25" s="120" t="s">
        <v>184</v>
      </c>
      <c r="E25" s="121">
        <v>8</v>
      </c>
      <c r="F25" s="122">
        <f t="shared" si="0"/>
        <v>0</v>
      </c>
      <c r="G25" s="123" t="s">
        <v>179</v>
      </c>
      <c r="H25" s="124">
        <f>SUM(80/I24)*C25</f>
        <v>0</v>
      </c>
      <c r="I25" s="122">
        <v>7</v>
      </c>
      <c r="J25" s="125" t="s">
        <v>180</v>
      </c>
      <c r="K25" s="126">
        <f t="shared" si="1"/>
        <v>0</v>
      </c>
    </row>
    <row r="26" spans="3:11">
      <c r="C26" s="119">
        <f>'Controller A(2)'!W40</f>
        <v>0</v>
      </c>
      <c r="D26" s="120" t="s">
        <v>185</v>
      </c>
      <c r="E26" s="121">
        <v>7</v>
      </c>
      <c r="F26" s="122">
        <f t="shared" si="0"/>
        <v>0</v>
      </c>
      <c r="G26" s="123" t="s">
        <v>179</v>
      </c>
      <c r="H26" s="124">
        <f>SUM(80/I26)*C26</f>
        <v>0</v>
      </c>
      <c r="I26" s="122">
        <v>6</v>
      </c>
      <c r="J26" s="125" t="s">
        <v>180</v>
      </c>
      <c r="K26" s="126">
        <f t="shared" si="1"/>
        <v>0</v>
      </c>
    </row>
    <row r="27" spans="3:11">
      <c r="C27" s="119">
        <f>'Controller A(2)'!X40</f>
        <v>0</v>
      </c>
      <c r="D27" s="120" t="s">
        <v>186</v>
      </c>
      <c r="E27" s="121">
        <v>15</v>
      </c>
      <c r="F27" s="122">
        <f t="shared" si="0"/>
        <v>0</v>
      </c>
      <c r="G27" s="123" t="s">
        <v>179</v>
      </c>
      <c r="H27" s="124">
        <f>SUM(80/I27)*C27</f>
        <v>0</v>
      </c>
      <c r="I27" s="122">
        <v>3</v>
      </c>
      <c r="J27" s="125" t="s">
        <v>180</v>
      </c>
      <c r="K27" s="126">
        <f t="shared" si="1"/>
        <v>0</v>
      </c>
    </row>
    <row r="28" spans="3:11">
      <c r="C28" s="119">
        <v>143</v>
      </c>
      <c r="D28" s="120" t="s">
        <v>94</v>
      </c>
      <c r="E28" s="121">
        <v>3.5</v>
      </c>
      <c r="F28" s="122">
        <f t="shared" si="0"/>
        <v>500.5</v>
      </c>
      <c r="G28" s="123" t="s">
        <v>179</v>
      </c>
      <c r="H28" s="124">
        <f>SUM(80/I28)*C28</f>
        <v>1634.2857142857142</v>
      </c>
      <c r="I28" s="122">
        <v>7</v>
      </c>
      <c r="J28" s="125" t="s">
        <v>180</v>
      </c>
      <c r="K28" s="126">
        <f t="shared" si="1"/>
        <v>2134.7857142857142</v>
      </c>
    </row>
    <row r="29" spans="3:11">
      <c r="C29" s="119">
        <f>'Controller A(2)'!Z40</f>
        <v>9</v>
      </c>
      <c r="D29" s="120" t="s">
        <v>187</v>
      </c>
      <c r="E29" s="121">
        <v>20</v>
      </c>
      <c r="F29" s="122">
        <f t="shared" si="0"/>
        <v>180</v>
      </c>
      <c r="G29" s="123" t="s">
        <v>179</v>
      </c>
      <c r="H29" s="124">
        <f>SUM(80/I29)*C29</f>
        <v>180</v>
      </c>
      <c r="I29" s="122">
        <v>4</v>
      </c>
      <c r="J29" s="125" t="s">
        <v>180</v>
      </c>
      <c r="K29" s="126">
        <f t="shared" si="1"/>
        <v>360</v>
      </c>
    </row>
    <row r="30" spans="3:11">
      <c r="C30" s="119">
        <v>14</v>
      </c>
      <c r="D30" s="120" t="s">
        <v>96</v>
      </c>
      <c r="E30" s="121">
        <v>5.25</v>
      </c>
      <c r="F30" s="122">
        <f t="shared" si="0"/>
        <v>73.5</v>
      </c>
      <c r="G30" s="123" t="s">
        <v>179</v>
      </c>
      <c r="H30" s="127">
        <f>SUM(15*I30)*C30</f>
        <v>69.3</v>
      </c>
      <c r="I30" s="122">
        <v>0.33</v>
      </c>
      <c r="J30" s="128" t="s">
        <v>180</v>
      </c>
      <c r="K30" s="126">
        <f t="shared" si="1"/>
        <v>142.80000000000001</v>
      </c>
    </row>
    <row r="31" spans="3:11">
      <c r="C31" s="119">
        <v>4</v>
      </c>
      <c r="D31" s="120" t="s">
        <v>188</v>
      </c>
      <c r="E31" s="121">
        <v>34.5</v>
      </c>
      <c r="F31" s="122">
        <f t="shared" si="0"/>
        <v>138</v>
      </c>
      <c r="G31" s="123" t="s">
        <v>179</v>
      </c>
      <c r="H31" s="127">
        <f>SUM(80/I31)*C31</f>
        <v>160</v>
      </c>
      <c r="I31" s="122">
        <v>2</v>
      </c>
      <c r="J31" s="128" t="s">
        <v>180</v>
      </c>
      <c r="K31" s="126">
        <f t="shared" si="1"/>
        <v>298</v>
      </c>
    </row>
    <row r="32" spans="3:11">
      <c r="C32" s="119">
        <v>19</v>
      </c>
      <c r="D32" s="120" t="s">
        <v>189</v>
      </c>
      <c r="E32" s="121">
        <v>50</v>
      </c>
      <c r="F32" s="122">
        <f t="shared" si="0"/>
        <v>950</v>
      </c>
      <c r="G32" s="123" t="s">
        <v>179</v>
      </c>
      <c r="H32" s="127">
        <f t="shared" ref="H32:H46" si="2">SUM(80/I32)*C32</f>
        <v>1520</v>
      </c>
      <c r="I32" s="122">
        <v>1</v>
      </c>
      <c r="J32" s="128"/>
      <c r="K32" s="126">
        <f t="shared" si="1"/>
        <v>2470</v>
      </c>
    </row>
    <row r="33" spans="3:11">
      <c r="C33" s="119">
        <v>11</v>
      </c>
      <c r="D33" s="120" t="s">
        <v>99</v>
      </c>
      <c r="E33" s="121">
        <v>135</v>
      </c>
      <c r="F33" s="122">
        <f t="shared" si="0"/>
        <v>1485</v>
      </c>
      <c r="G33" s="123" t="s">
        <v>179</v>
      </c>
      <c r="H33" s="127">
        <f t="shared" si="2"/>
        <v>1760</v>
      </c>
      <c r="I33" s="122">
        <v>0.5</v>
      </c>
      <c r="J33" s="128" t="s">
        <v>180</v>
      </c>
      <c r="K33" s="126">
        <f t="shared" si="1"/>
        <v>3245</v>
      </c>
    </row>
    <row r="34" spans="3:11" ht="11.25">
      <c r="C34" s="119">
        <f>'Controller A(2)'!AE40</f>
        <v>1</v>
      </c>
      <c r="D34" s="120" t="s">
        <v>190</v>
      </c>
      <c r="E34" s="121">
        <v>115</v>
      </c>
      <c r="F34" s="122">
        <f t="shared" si="0"/>
        <v>115</v>
      </c>
      <c r="G34" s="123" t="s">
        <v>179</v>
      </c>
      <c r="H34" s="127">
        <f t="shared" si="2"/>
        <v>80</v>
      </c>
      <c r="I34" s="122">
        <v>1</v>
      </c>
      <c r="J34" s="128" t="s">
        <v>180</v>
      </c>
      <c r="K34" s="126">
        <f t="shared" si="1"/>
        <v>195</v>
      </c>
    </row>
    <row r="35" spans="3:11">
      <c r="C35" s="119">
        <f>'Controller A(2)'!AF40</f>
        <v>0</v>
      </c>
      <c r="D35" s="120" t="s">
        <v>101</v>
      </c>
      <c r="E35" s="121">
        <v>75</v>
      </c>
      <c r="F35" s="122">
        <f t="shared" si="0"/>
        <v>0</v>
      </c>
      <c r="G35" s="123" t="s">
        <v>179</v>
      </c>
      <c r="H35" s="127">
        <f t="shared" si="2"/>
        <v>0</v>
      </c>
      <c r="I35" s="122">
        <v>2</v>
      </c>
      <c r="J35" s="128" t="s">
        <v>180</v>
      </c>
      <c r="K35" s="126">
        <f t="shared" si="1"/>
        <v>0</v>
      </c>
    </row>
    <row r="36" spans="3:11">
      <c r="C36" s="119">
        <v>8</v>
      </c>
      <c r="D36" s="120" t="s">
        <v>102</v>
      </c>
      <c r="E36" s="121">
        <v>138</v>
      </c>
      <c r="F36" s="122">
        <f t="shared" ref="F36:F44" si="3">C36*E36</f>
        <v>1104</v>
      </c>
      <c r="G36" s="123" t="s">
        <v>179</v>
      </c>
      <c r="H36" s="127">
        <f t="shared" si="2"/>
        <v>640</v>
      </c>
      <c r="I36" s="122">
        <v>1</v>
      </c>
      <c r="J36" s="128" t="s">
        <v>180</v>
      </c>
      <c r="K36" s="126">
        <f t="shared" si="1"/>
        <v>1744</v>
      </c>
    </row>
    <row r="37" spans="3:11">
      <c r="C37" s="119">
        <f>'Controller A(2)'!AH40</f>
        <v>0</v>
      </c>
      <c r="D37" s="120" t="s">
        <v>103</v>
      </c>
      <c r="E37" s="121">
        <v>30</v>
      </c>
      <c r="F37" s="122">
        <f t="shared" si="3"/>
        <v>0</v>
      </c>
      <c r="G37" s="123" t="s">
        <v>179</v>
      </c>
      <c r="H37" s="127">
        <f t="shared" si="2"/>
        <v>0</v>
      </c>
      <c r="I37" s="122">
        <v>2</v>
      </c>
      <c r="J37" s="128" t="s">
        <v>180</v>
      </c>
      <c r="K37" s="126">
        <f t="shared" si="1"/>
        <v>0</v>
      </c>
    </row>
    <row r="38" spans="3:11">
      <c r="C38" s="119">
        <f>'Controller A(2)'!AI40</f>
        <v>0</v>
      </c>
      <c r="D38" s="120" t="s">
        <v>104</v>
      </c>
      <c r="E38" s="121">
        <v>30</v>
      </c>
      <c r="F38" s="122">
        <f t="shared" si="3"/>
        <v>0</v>
      </c>
      <c r="G38" s="123" t="s">
        <v>179</v>
      </c>
      <c r="H38" s="127">
        <f t="shared" si="2"/>
        <v>0</v>
      </c>
      <c r="I38" s="122">
        <v>2</v>
      </c>
      <c r="J38" s="128" t="s">
        <v>180</v>
      </c>
      <c r="K38" s="126">
        <f t="shared" si="1"/>
        <v>0</v>
      </c>
    </row>
    <row r="39" spans="3:11">
      <c r="C39" s="119">
        <f>'Controller A(2)'!AJ40</f>
        <v>0</v>
      </c>
      <c r="D39" s="120" t="s">
        <v>105</v>
      </c>
      <c r="E39" s="121">
        <v>246</v>
      </c>
      <c r="F39" s="122">
        <f t="shared" si="3"/>
        <v>0</v>
      </c>
      <c r="G39" s="128" t="s">
        <v>179</v>
      </c>
      <c r="H39" s="127">
        <f t="shared" si="2"/>
        <v>0</v>
      </c>
      <c r="I39" s="122">
        <v>0.5</v>
      </c>
      <c r="J39" s="128" t="s">
        <v>180</v>
      </c>
      <c r="K39" s="126">
        <f t="shared" si="1"/>
        <v>0</v>
      </c>
    </row>
    <row r="40" spans="3:11">
      <c r="C40" s="119">
        <f>'Controller A(2)'!AK40</f>
        <v>0</v>
      </c>
      <c r="D40" s="120" t="s">
        <v>106</v>
      </c>
      <c r="E40" s="121">
        <v>11.5</v>
      </c>
      <c r="F40" s="122">
        <f t="shared" si="3"/>
        <v>0</v>
      </c>
      <c r="G40" s="128" t="s">
        <v>179</v>
      </c>
      <c r="H40" s="127">
        <f t="shared" si="2"/>
        <v>0</v>
      </c>
      <c r="I40" s="122">
        <v>30</v>
      </c>
      <c r="J40" s="128" t="s">
        <v>180</v>
      </c>
      <c r="K40" s="126">
        <f t="shared" si="1"/>
        <v>0</v>
      </c>
    </row>
    <row r="41" spans="3:11">
      <c r="C41" s="119">
        <f>'Controller A(2)'!AL40</f>
        <v>0</v>
      </c>
      <c r="D41" s="120" t="s">
        <v>107</v>
      </c>
      <c r="E41" s="121">
        <v>20</v>
      </c>
      <c r="F41" s="122">
        <f t="shared" si="3"/>
        <v>0</v>
      </c>
      <c r="G41" s="128" t="s">
        <v>179</v>
      </c>
      <c r="H41" s="127">
        <f t="shared" si="2"/>
        <v>0</v>
      </c>
      <c r="I41" s="122">
        <v>30</v>
      </c>
      <c r="J41" s="128" t="s">
        <v>180</v>
      </c>
      <c r="K41" s="126">
        <f t="shared" si="1"/>
        <v>0</v>
      </c>
    </row>
    <row r="42" spans="3:11">
      <c r="C42" s="119">
        <f>'Controller A(2)'!AM40</f>
        <v>0</v>
      </c>
      <c r="D42" s="120" t="s">
        <v>108</v>
      </c>
      <c r="E42" s="121">
        <v>7.5</v>
      </c>
      <c r="F42" s="122">
        <f t="shared" si="3"/>
        <v>0</v>
      </c>
      <c r="G42" s="128" t="s">
        <v>179</v>
      </c>
      <c r="H42" s="127">
        <f t="shared" si="2"/>
        <v>0</v>
      </c>
      <c r="I42" s="122">
        <v>30</v>
      </c>
      <c r="J42" s="128" t="s">
        <v>180</v>
      </c>
      <c r="K42" s="126">
        <f t="shared" si="1"/>
        <v>0</v>
      </c>
    </row>
    <row r="43" spans="3:11">
      <c r="C43" s="119">
        <f>'Controller A(2)'!AN40</f>
        <v>0</v>
      </c>
      <c r="D43" s="120" t="s">
        <v>109</v>
      </c>
      <c r="E43" s="121">
        <v>10</v>
      </c>
      <c r="F43" s="122">
        <f t="shared" si="3"/>
        <v>0</v>
      </c>
      <c r="G43" s="128" t="s">
        <v>179</v>
      </c>
      <c r="H43" s="127">
        <f t="shared" si="2"/>
        <v>0</v>
      </c>
      <c r="I43" s="122">
        <v>30</v>
      </c>
      <c r="J43" s="128" t="s">
        <v>180</v>
      </c>
      <c r="K43" s="126">
        <f t="shared" si="1"/>
        <v>0</v>
      </c>
    </row>
    <row r="44" spans="3:11">
      <c r="C44" s="119">
        <f>'Controller A(2)'!AO40</f>
        <v>6</v>
      </c>
      <c r="D44" s="120" t="s">
        <v>110</v>
      </c>
      <c r="E44" s="121">
        <v>5.75</v>
      </c>
      <c r="F44" s="122">
        <f t="shared" si="3"/>
        <v>34.5</v>
      </c>
      <c r="G44" s="128" t="s">
        <v>179</v>
      </c>
      <c r="H44" s="127">
        <f t="shared" si="2"/>
        <v>80</v>
      </c>
      <c r="I44" s="122">
        <v>6</v>
      </c>
      <c r="J44" s="128" t="s">
        <v>180</v>
      </c>
      <c r="K44" s="126">
        <f t="shared" si="1"/>
        <v>114.5</v>
      </c>
    </row>
    <row r="45" spans="3:11">
      <c r="C45" s="119">
        <v>19</v>
      </c>
      <c r="D45" s="120" t="s">
        <v>191</v>
      </c>
      <c r="E45" s="121">
        <v>115</v>
      </c>
      <c r="F45" s="122">
        <f>C45*E45</f>
        <v>2185</v>
      </c>
      <c r="G45" s="128" t="s">
        <v>179</v>
      </c>
      <c r="H45" s="127">
        <f>SUM(80*I45)*C45</f>
        <v>760</v>
      </c>
      <c r="I45" s="122">
        <v>0.5</v>
      </c>
      <c r="J45" s="128" t="s">
        <v>180</v>
      </c>
      <c r="K45" s="126">
        <f t="shared" si="1"/>
        <v>2945</v>
      </c>
    </row>
    <row r="46" spans="3:11" ht="11.25" thickBot="1">
      <c r="C46" s="129">
        <f>'Controller A(2)'!AQ40</f>
        <v>0</v>
      </c>
      <c r="D46" s="130" t="s">
        <v>192</v>
      </c>
      <c r="E46" s="131">
        <v>125</v>
      </c>
      <c r="F46" s="132">
        <f>C46*E46</f>
        <v>0</v>
      </c>
      <c r="G46" s="133" t="s">
        <v>179</v>
      </c>
      <c r="H46" s="134">
        <f t="shared" si="2"/>
        <v>0</v>
      </c>
      <c r="I46" s="132">
        <v>1</v>
      </c>
      <c r="J46" s="133" t="s">
        <v>180</v>
      </c>
      <c r="K46" s="135">
        <f t="shared" si="1"/>
        <v>0</v>
      </c>
    </row>
    <row r="47" spans="3:11" ht="11.25" thickBot="1">
      <c r="C47" s="108"/>
      <c r="D47" s="108"/>
      <c r="F47" s="136"/>
      <c r="G47" s="137"/>
      <c r="I47" s="94"/>
      <c r="J47" s="138" t="s">
        <v>193</v>
      </c>
      <c r="K47" s="139">
        <f>SUM(K21:K46)</f>
        <v>14106.311904761904</v>
      </c>
    </row>
    <row r="49" spans="3:11">
      <c r="C49" s="108" t="s">
        <v>194</v>
      </c>
    </row>
    <row r="51" spans="3:11" ht="11.25" thickBot="1">
      <c r="C51" s="109" t="s">
        <v>174</v>
      </c>
      <c r="D51" s="109" t="s">
        <v>175</v>
      </c>
      <c r="F51" s="109"/>
      <c r="G51" s="110" t="s">
        <v>177</v>
      </c>
      <c r="I51" s="109"/>
    </row>
    <row r="52" spans="3:11">
      <c r="C52" s="111">
        <f>'Controller A(2)'!AR40</f>
        <v>0</v>
      </c>
      <c r="D52" s="112" t="s">
        <v>178</v>
      </c>
      <c r="E52" s="113">
        <v>2</v>
      </c>
      <c r="F52" s="114">
        <f t="shared" ref="F52:F53" si="4">C52*E52</f>
        <v>0</v>
      </c>
      <c r="G52" s="115" t="s">
        <v>179</v>
      </c>
      <c r="H52" s="116">
        <f>SUM(80/I52)*C52</f>
        <v>0</v>
      </c>
      <c r="I52" s="114">
        <v>30</v>
      </c>
      <c r="J52" s="117" t="s">
        <v>180</v>
      </c>
      <c r="K52" s="118">
        <f t="shared" ref="K52:K67" si="5">F52+H52</f>
        <v>0</v>
      </c>
    </row>
    <row r="53" spans="3:11">
      <c r="C53" s="119">
        <f>'Controller A(2)'!AS40</f>
        <v>0</v>
      </c>
      <c r="D53" s="120" t="s">
        <v>181</v>
      </c>
      <c r="E53" s="121">
        <v>4.25</v>
      </c>
      <c r="F53" s="122">
        <f t="shared" si="4"/>
        <v>0</v>
      </c>
      <c r="G53" s="123" t="s">
        <v>179</v>
      </c>
      <c r="H53" s="124">
        <f>SUM(80/I53)*C53</f>
        <v>0</v>
      </c>
      <c r="I53" s="122">
        <v>30</v>
      </c>
      <c r="J53" s="125"/>
      <c r="K53" s="126">
        <f t="shared" si="5"/>
        <v>0</v>
      </c>
    </row>
    <row r="54" spans="3:11">
      <c r="C54" s="119">
        <f>'Controller A(2)'!AT40</f>
        <v>0</v>
      </c>
      <c r="D54" s="120" t="s">
        <v>182</v>
      </c>
      <c r="E54" s="121">
        <v>10</v>
      </c>
      <c r="F54" s="122">
        <f t="shared" ref="F54:F67" si="6">C54*E54</f>
        <v>0</v>
      </c>
      <c r="G54" s="123" t="s">
        <v>179</v>
      </c>
      <c r="H54" s="124">
        <f>SUM(80/I54)*C54</f>
        <v>0</v>
      </c>
      <c r="I54" s="122">
        <v>12</v>
      </c>
      <c r="J54" s="125" t="s">
        <v>180</v>
      </c>
      <c r="K54" s="126">
        <f t="shared" si="5"/>
        <v>0</v>
      </c>
    </row>
    <row r="55" spans="3:11">
      <c r="C55" s="119">
        <f>'Controller A(2)'!AU40</f>
        <v>0</v>
      </c>
      <c r="D55" s="120" t="s">
        <v>183</v>
      </c>
      <c r="E55" s="121">
        <v>4</v>
      </c>
      <c r="F55" s="122">
        <f t="shared" si="6"/>
        <v>0</v>
      </c>
      <c r="G55" s="123" t="s">
        <v>179</v>
      </c>
      <c r="H55" s="124">
        <f>SUM(80/I55)*C55</f>
        <v>0</v>
      </c>
      <c r="I55" s="122">
        <v>7</v>
      </c>
      <c r="J55" s="125" t="s">
        <v>180</v>
      </c>
      <c r="K55" s="126">
        <f t="shared" si="5"/>
        <v>0</v>
      </c>
    </row>
    <row r="56" spans="3:11">
      <c r="C56" s="119">
        <f>'Controller A(2)'!AV40</f>
        <v>0</v>
      </c>
      <c r="D56" s="120" t="s">
        <v>184</v>
      </c>
      <c r="E56" s="121">
        <v>8</v>
      </c>
      <c r="F56" s="122">
        <f t="shared" si="6"/>
        <v>0</v>
      </c>
      <c r="G56" s="123" t="s">
        <v>179</v>
      </c>
      <c r="H56" s="124">
        <f>SUM(80/I55)*C56</f>
        <v>0</v>
      </c>
      <c r="I56" s="122">
        <v>7</v>
      </c>
      <c r="J56" s="125" t="s">
        <v>180</v>
      </c>
      <c r="K56" s="126">
        <f t="shared" si="5"/>
        <v>0</v>
      </c>
    </row>
    <row r="57" spans="3:11">
      <c r="C57" s="119">
        <f>'Controller A(2)'!AW40</f>
        <v>0</v>
      </c>
      <c r="D57" s="120" t="s">
        <v>185</v>
      </c>
      <c r="E57" s="121">
        <v>7</v>
      </c>
      <c r="F57" s="122">
        <f t="shared" si="6"/>
        <v>0</v>
      </c>
      <c r="G57" s="123" t="s">
        <v>179</v>
      </c>
      <c r="H57" s="124">
        <f>SUM(80/I57)*C57</f>
        <v>0</v>
      </c>
      <c r="I57" s="122">
        <v>6</v>
      </c>
      <c r="J57" s="125" t="s">
        <v>180</v>
      </c>
      <c r="K57" s="126">
        <f t="shared" si="5"/>
        <v>0</v>
      </c>
    </row>
    <row r="58" spans="3:11">
      <c r="C58" s="119">
        <f>'Controller A(2)'!AX40</f>
        <v>0</v>
      </c>
      <c r="D58" s="120" t="s">
        <v>186</v>
      </c>
      <c r="E58" s="121">
        <v>15</v>
      </c>
      <c r="F58" s="122">
        <f t="shared" si="6"/>
        <v>0</v>
      </c>
      <c r="G58" s="123" t="s">
        <v>179</v>
      </c>
      <c r="H58" s="124">
        <f>SUM(80/I58)*C58</f>
        <v>0</v>
      </c>
      <c r="I58" s="122">
        <v>3</v>
      </c>
      <c r="J58" s="125" t="s">
        <v>180</v>
      </c>
      <c r="K58" s="126">
        <f t="shared" si="5"/>
        <v>0</v>
      </c>
    </row>
    <row r="59" spans="3:11">
      <c r="C59" s="119">
        <f>'Controller A(2)'!AY40</f>
        <v>0</v>
      </c>
      <c r="D59" s="120" t="s">
        <v>113</v>
      </c>
      <c r="E59" s="121">
        <v>150</v>
      </c>
      <c r="F59" s="122">
        <f>C59*E59</f>
        <v>0</v>
      </c>
      <c r="G59" s="123" t="s">
        <v>179</v>
      </c>
      <c r="H59" s="127">
        <f>SUM(80*I59)*C59</f>
        <v>0</v>
      </c>
      <c r="I59" s="122">
        <v>1</v>
      </c>
      <c r="J59" s="128" t="s">
        <v>180</v>
      </c>
      <c r="K59" s="126">
        <f t="shared" si="5"/>
        <v>0</v>
      </c>
    </row>
    <row r="60" spans="3:11">
      <c r="C60" s="119">
        <f>'Controller A(2)'!AZ40</f>
        <v>0</v>
      </c>
      <c r="D60" s="120" t="s">
        <v>94</v>
      </c>
      <c r="E60" s="121">
        <v>3.5</v>
      </c>
      <c r="F60" s="122">
        <f t="shared" si="6"/>
        <v>0</v>
      </c>
      <c r="G60" s="123" t="s">
        <v>179</v>
      </c>
      <c r="H60" s="124">
        <f t="shared" ref="H60:H67" si="7">SUM(80/I60)*C60</f>
        <v>0</v>
      </c>
      <c r="I60" s="122">
        <v>7</v>
      </c>
      <c r="J60" s="125" t="s">
        <v>180</v>
      </c>
      <c r="K60" s="126">
        <f t="shared" si="5"/>
        <v>0</v>
      </c>
    </row>
    <row r="61" spans="3:11">
      <c r="C61" s="119">
        <f>'Controller A(2)'!BA40</f>
        <v>0</v>
      </c>
      <c r="D61" s="120" t="s">
        <v>187</v>
      </c>
      <c r="E61" s="121">
        <v>20</v>
      </c>
      <c r="F61" s="122">
        <f t="shared" si="6"/>
        <v>0</v>
      </c>
      <c r="G61" s="123" t="s">
        <v>179</v>
      </c>
      <c r="H61" s="124">
        <f t="shared" si="7"/>
        <v>0</v>
      </c>
      <c r="I61" s="122">
        <v>4</v>
      </c>
      <c r="J61" s="125" t="s">
        <v>180</v>
      </c>
      <c r="K61" s="126">
        <f t="shared" si="5"/>
        <v>0</v>
      </c>
    </row>
    <row r="62" spans="3:11">
      <c r="C62" s="119">
        <f>'Controller A(2)'!BB40</f>
        <v>0</v>
      </c>
      <c r="D62" s="120" t="s">
        <v>114</v>
      </c>
      <c r="E62" s="121">
        <v>3.45</v>
      </c>
      <c r="F62" s="122">
        <f t="shared" si="6"/>
        <v>0</v>
      </c>
      <c r="G62" s="140" t="s">
        <v>179</v>
      </c>
      <c r="H62" s="124">
        <f t="shared" si="7"/>
        <v>0</v>
      </c>
      <c r="I62" s="122">
        <v>6</v>
      </c>
      <c r="J62" s="125" t="s">
        <v>180</v>
      </c>
      <c r="K62" s="126">
        <f t="shared" si="5"/>
        <v>0</v>
      </c>
    </row>
    <row r="63" spans="3:11">
      <c r="C63" s="119">
        <f>'Controller A(2)'!BC40</f>
        <v>0</v>
      </c>
      <c r="D63" s="120" t="s">
        <v>115</v>
      </c>
      <c r="E63" s="121">
        <v>8.0500000000000007</v>
      </c>
      <c r="F63" s="122">
        <f t="shared" si="6"/>
        <v>0</v>
      </c>
      <c r="G63" s="123" t="s">
        <v>179</v>
      </c>
      <c r="H63" s="124">
        <f t="shared" si="7"/>
        <v>0</v>
      </c>
      <c r="I63" s="122">
        <v>6</v>
      </c>
      <c r="J63" s="125" t="s">
        <v>180</v>
      </c>
      <c r="K63" s="126">
        <f t="shared" si="5"/>
        <v>0</v>
      </c>
    </row>
    <row r="64" spans="3:11">
      <c r="C64" s="119">
        <f>'Controller A(2)'!BD40</f>
        <v>0</v>
      </c>
      <c r="D64" s="120" t="s">
        <v>116</v>
      </c>
      <c r="E64" s="121">
        <v>11.5</v>
      </c>
      <c r="F64" s="122">
        <f t="shared" si="6"/>
        <v>0</v>
      </c>
      <c r="G64" s="123" t="s">
        <v>179</v>
      </c>
      <c r="H64" s="124">
        <f t="shared" si="7"/>
        <v>0</v>
      </c>
      <c r="I64" s="122">
        <v>3</v>
      </c>
      <c r="J64" s="125" t="s">
        <v>180</v>
      </c>
      <c r="K64" s="126">
        <f t="shared" si="5"/>
        <v>0</v>
      </c>
    </row>
    <row r="65" spans="3:11">
      <c r="C65" s="119">
        <f>'Controller A(2)'!BE40</f>
        <v>0</v>
      </c>
      <c r="D65" s="141" t="s">
        <v>195</v>
      </c>
      <c r="E65" s="142">
        <v>9.92</v>
      </c>
      <c r="F65" s="143">
        <f t="shared" si="6"/>
        <v>0</v>
      </c>
      <c r="G65" s="144" t="s">
        <v>179</v>
      </c>
      <c r="H65" s="145">
        <f t="shared" si="7"/>
        <v>0</v>
      </c>
      <c r="I65" s="143">
        <v>8</v>
      </c>
      <c r="J65" s="146" t="s">
        <v>180</v>
      </c>
      <c r="K65" s="147">
        <f t="shared" si="5"/>
        <v>0</v>
      </c>
    </row>
    <row r="66" spans="3:11">
      <c r="C66" s="119">
        <f>'Controller A(2)'!BF40</f>
        <v>0</v>
      </c>
      <c r="D66" s="141" t="s">
        <v>196</v>
      </c>
      <c r="E66" s="142">
        <v>17.25</v>
      </c>
      <c r="F66" s="143">
        <f t="shared" si="6"/>
        <v>0</v>
      </c>
      <c r="G66" s="144"/>
      <c r="H66" s="145">
        <f t="shared" si="7"/>
        <v>0</v>
      </c>
      <c r="I66" s="143">
        <v>6</v>
      </c>
      <c r="J66" s="146"/>
      <c r="K66" s="147">
        <f t="shared" si="5"/>
        <v>0</v>
      </c>
    </row>
    <row r="67" spans="3:11" ht="11.25" thickBot="1">
      <c r="C67" s="129">
        <f>'Controller A(2)'!BG40</f>
        <v>0</v>
      </c>
      <c r="D67" s="148" t="s">
        <v>119</v>
      </c>
      <c r="E67" s="149">
        <v>5.75</v>
      </c>
      <c r="F67" s="150">
        <f t="shared" si="6"/>
        <v>0</v>
      </c>
      <c r="G67" s="151" t="s">
        <v>179</v>
      </c>
      <c r="H67" s="152">
        <f t="shared" si="7"/>
        <v>0</v>
      </c>
      <c r="I67" s="150">
        <v>6</v>
      </c>
      <c r="J67" s="153" t="s">
        <v>180</v>
      </c>
      <c r="K67" s="154">
        <f t="shared" si="5"/>
        <v>0</v>
      </c>
    </row>
    <row r="68" spans="3:11" ht="11.25" thickBot="1">
      <c r="D68" s="108"/>
      <c r="E68" s="108"/>
      <c r="F68" s="108"/>
      <c r="G68" s="108"/>
      <c r="H68" s="108"/>
      <c r="I68" s="108"/>
      <c r="J68" s="138" t="s">
        <v>193</v>
      </c>
      <c r="K68" s="139">
        <f>SUM(K52:K67)</f>
        <v>0</v>
      </c>
    </row>
    <row r="71" spans="3:11">
      <c r="C71" s="108" t="s">
        <v>197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M71"/>
  <sheetViews>
    <sheetView topLeftCell="A13" workbookViewId="0">
      <selection activeCell="F21" sqref="F21"/>
    </sheetView>
  </sheetViews>
  <sheetFormatPr defaultColWidth="8.7109375" defaultRowHeight="10.5"/>
  <cols>
    <col min="1" max="2" width="8.7109375" style="43"/>
    <col min="3" max="3" width="4.42578125" style="43" customWidth="1"/>
    <col min="4" max="4" width="13.7109375" style="43" customWidth="1"/>
    <col min="5" max="5" width="6.5703125" style="43" hidden="1" customWidth="1"/>
    <col min="6" max="6" width="6.140625" style="43" customWidth="1"/>
    <col min="7" max="7" width="4.42578125" style="43" customWidth="1"/>
    <col min="8" max="8" width="6.140625" style="43" customWidth="1"/>
    <col min="9" max="9" width="5" style="43" hidden="1" customWidth="1"/>
    <col min="10" max="10" width="4.42578125" style="43" customWidth="1"/>
    <col min="11" max="11" width="9.42578125" style="43" customWidth="1"/>
    <col min="12" max="16384" width="8.7109375" style="43"/>
  </cols>
  <sheetData>
    <row r="1" spans="3:13">
      <c r="J1" s="94"/>
      <c r="K1" s="94"/>
    </row>
    <row r="2" spans="3:13">
      <c r="M2" s="94"/>
    </row>
    <row r="3" spans="3:13">
      <c r="J3" s="94"/>
      <c r="K3" s="94"/>
    </row>
    <row r="4" spans="3:13">
      <c r="M4" s="94"/>
    </row>
    <row r="5" spans="3:13">
      <c r="J5" s="94"/>
      <c r="K5" s="95"/>
    </row>
    <row r="6" spans="3:13">
      <c r="M6" s="95"/>
    </row>
    <row r="7" spans="3:13">
      <c r="M7" s="95"/>
    </row>
    <row r="8" spans="3:13">
      <c r="M8" s="95"/>
    </row>
    <row r="9" spans="3:13">
      <c r="C9" s="43" t="s">
        <v>169</v>
      </c>
      <c r="K9" s="94" t="s">
        <v>19</v>
      </c>
      <c r="M9" s="95"/>
    </row>
    <row r="10" spans="3:13">
      <c r="C10" s="43" t="s">
        <v>170</v>
      </c>
      <c r="K10" s="94" t="s">
        <v>171</v>
      </c>
      <c r="M10" s="95"/>
    </row>
    <row r="12" spans="3:13" ht="11.25" thickBot="1"/>
    <row r="13" spans="3:13">
      <c r="D13" s="96" t="s">
        <v>42</v>
      </c>
      <c r="F13" s="97" t="e">
        <f>#REF!</f>
        <v>#REF!</v>
      </c>
      <c r="G13" s="98"/>
      <c r="H13" s="98"/>
      <c r="I13" s="98"/>
      <c r="J13" s="98"/>
      <c r="K13" s="99"/>
    </row>
    <row r="14" spans="3:13">
      <c r="D14" s="100" t="s">
        <v>4</v>
      </c>
      <c r="F14" s="101" t="e">
        <f>#REF!</f>
        <v>#REF!</v>
      </c>
      <c r="G14" s="102"/>
      <c r="H14" s="102"/>
      <c r="I14" s="102"/>
      <c r="J14" s="102"/>
      <c r="K14" s="103"/>
    </row>
    <row r="15" spans="3:13" ht="11.25" thickBot="1">
      <c r="D15" s="104" t="s">
        <v>172</v>
      </c>
      <c r="F15" s="105" t="e">
        <f>#REF!</f>
        <v>#REF!</v>
      </c>
      <c r="G15" s="106"/>
      <c r="H15" s="106"/>
      <c r="I15" s="106"/>
      <c r="J15" s="106"/>
      <c r="K15" s="107"/>
    </row>
    <row r="18" spans="3:11">
      <c r="C18" s="108" t="s">
        <v>173</v>
      </c>
    </row>
    <row r="20" spans="3:11" ht="11.25" thickBot="1">
      <c r="C20" s="109" t="s">
        <v>174</v>
      </c>
      <c r="D20" s="109" t="s">
        <v>175</v>
      </c>
      <c r="E20" s="43" t="s">
        <v>176</v>
      </c>
      <c r="F20" s="109"/>
      <c r="G20" s="110" t="s">
        <v>177</v>
      </c>
      <c r="I20" s="109"/>
    </row>
    <row r="21" spans="3:11">
      <c r="C21" s="111" t="e">
        <f>#REF!</f>
        <v>#REF!</v>
      </c>
      <c r="D21" s="112" t="s">
        <v>178</v>
      </c>
      <c r="E21" s="113">
        <v>2</v>
      </c>
      <c r="F21" s="114" t="e">
        <f t="shared" ref="F21:F44" si="0">C21*E21</f>
        <v>#REF!</v>
      </c>
      <c r="G21" s="115" t="s">
        <v>179</v>
      </c>
      <c r="H21" s="116" t="e">
        <f>SUM(80/I21)*C21</f>
        <v>#REF!</v>
      </c>
      <c r="I21" s="114">
        <v>30</v>
      </c>
      <c r="J21" s="117" t="s">
        <v>180</v>
      </c>
      <c r="K21" s="118" t="e">
        <f t="shared" ref="K21:K46" si="1">F21+H21</f>
        <v>#REF!</v>
      </c>
    </row>
    <row r="22" spans="3:11">
      <c r="C22" s="119" t="e">
        <f>#REF!</f>
        <v>#REF!</v>
      </c>
      <c r="D22" s="120" t="s">
        <v>181</v>
      </c>
      <c r="E22" s="121">
        <v>4.25</v>
      </c>
      <c r="F22" s="122" t="e">
        <f t="shared" si="0"/>
        <v>#REF!</v>
      </c>
      <c r="G22" s="123" t="s">
        <v>179</v>
      </c>
      <c r="H22" s="124" t="e">
        <f>SUM(80/I22)*C22</f>
        <v>#REF!</v>
      </c>
      <c r="I22" s="122">
        <v>30</v>
      </c>
      <c r="J22" s="125"/>
      <c r="K22" s="126" t="e">
        <f t="shared" si="1"/>
        <v>#REF!</v>
      </c>
    </row>
    <row r="23" spans="3:11">
      <c r="C23" s="119" t="e">
        <f>#REF!</f>
        <v>#REF!</v>
      </c>
      <c r="D23" s="120" t="s">
        <v>182</v>
      </c>
      <c r="E23" s="121">
        <v>10</v>
      </c>
      <c r="F23" s="122" t="e">
        <f t="shared" si="0"/>
        <v>#REF!</v>
      </c>
      <c r="G23" s="123" t="s">
        <v>179</v>
      </c>
      <c r="H23" s="124" t="e">
        <f>SUM(80/I23)*C23</f>
        <v>#REF!</v>
      </c>
      <c r="I23" s="122">
        <v>12</v>
      </c>
      <c r="J23" s="125" t="s">
        <v>180</v>
      </c>
      <c r="K23" s="126" t="e">
        <f t="shared" si="1"/>
        <v>#REF!</v>
      </c>
    </row>
    <row r="24" spans="3:11">
      <c r="C24" s="119" t="e">
        <f>#REF!</f>
        <v>#REF!</v>
      </c>
      <c r="D24" s="120" t="s">
        <v>183</v>
      </c>
      <c r="E24" s="121">
        <v>4</v>
      </c>
      <c r="F24" s="122" t="e">
        <f t="shared" si="0"/>
        <v>#REF!</v>
      </c>
      <c r="G24" s="123" t="s">
        <v>179</v>
      </c>
      <c r="H24" s="124" t="e">
        <f>SUM(80/I24)*C24</f>
        <v>#REF!</v>
      </c>
      <c r="I24" s="122">
        <v>7</v>
      </c>
      <c r="J24" s="125" t="s">
        <v>180</v>
      </c>
      <c r="K24" s="126" t="e">
        <f t="shared" si="1"/>
        <v>#REF!</v>
      </c>
    </row>
    <row r="25" spans="3:11">
      <c r="C25" s="119" t="e">
        <f>#REF!</f>
        <v>#REF!</v>
      </c>
      <c r="D25" s="120" t="s">
        <v>184</v>
      </c>
      <c r="E25" s="121">
        <v>8</v>
      </c>
      <c r="F25" s="122" t="e">
        <f t="shared" si="0"/>
        <v>#REF!</v>
      </c>
      <c r="G25" s="123" t="s">
        <v>179</v>
      </c>
      <c r="H25" s="124" t="e">
        <f>SUM(80/I24)*C25</f>
        <v>#REF!</v>
      </c>
      <c r="I25" s="122">
        <v>7</v>
      </c>
      <c r="J25" s="125" t="s">
        <v>180</v>
      </c>
      <c r="K25" s="126" t="e">
        <f t="shared" si="1"/>
        <v>#REF!</v>
      </c>
    </row>
    <row r="26" spans="3:11">
      <c r="C26" s="119" t="e">
        <f>#REF!</f>
        <v>#REF!</v>
      </c>
      <c r="D26" s="120" t="s">
        <v>185</v>
      </c>
      <c r="E26" s="121">
        <v>7</v>
      </c>
      <c r="F26" s="122" t="e">
        <f t="shared" si="0"/>
        <v>#REF!</v>
      </c>
      <c r="G26" s="123" t="s">
        <v>179</v>
      </c>
      <c r="H26" s="124" t="e">
        <f>SUM(80/I26)*C26</f>
        <v>#REF!</v>
      </c>
      <c r="I26" s="122">
        <v>6</v>
      </c>
      <c r="J26" s="125" t="s">
        <v>180</v>
      </c>
      <c r="K26" s="126" t="e">
        <f t="shared" si="1"/>
        <v>#REF!</v>
      </c>
    </row>
    <row r="27" spans="3:11">
      <c r="C27" s="119" t="e">
        <f>#REF!</f>
        <v>#REF!</v>
      </c>
      <c r="D27" s="120" t="s">
        <v>186</v>
      </c>
      <c r="E27" s="121">
        <v>15</v>
      </c>
      <c r="F27" s="122" t="e">
        <f t="shared" si="0"/>
        <v>#REF!</v>
      </c>
      <c r="G27" s="123" t="s">
        <v>179</v>
      </c>
      <c r="H27" s="124" t="e">
        <f>SUM(80/I27)*C27</f>
        <v>#REF!</v>
      </c>
      <c r="I27" s="122">
        <v>3</v>
      </c>
      <c r="J27" s="125" t="s">
        <v>180</v>
      </c>
      <c r="K27" s="126" t="e">
        <f t="shared" si="1"/>
        <v>#REF!</v>
      </c>
    </row>
    <row r="28" spans="3:11">
      <c r="C28" s="119" t="e">
        <f>#REF!</f>
        <v>#REF!</v>
      </c>
      <c r="D28" s="120" t="s">
        <v>94</v>
      </c>
      <c r="E28" s="121">
        <v>3.5</v>
      </c>
      <c r="F28" s="122" t="e">
        <f t="shared" si="0"/>
        <v>#REF!</v>
      </c>
      <c r="G28" s="123" t="s">
        <v>179</v>
      </c>
      <c r="H28" s="124" t="e">
        <f>SUM(80/I28)*C28</f>
        <v>#REF!</v>
      </c>
      <c r="I28" s="122">
        <v>7</v>
      </c>
      <c r="J28" s="125" t="s">
        <v>180</v>
      </c>
      <c r="K28" s="126" t="e">
        <f t="shared" si="1"/>
        <v>#REF!</v>
      </c>
    </row>
    <row r="29" spans="3:11">
      <c r="C29" s="119" t="e">
        <f>#REF!</f>
        <v>#REF!</v>
      </c>
      <c r="D29" s="120" t="s">
        <v>187</v>
      </c>
      <c r="E29" s="121">
        <v>20</v>
      </c>
      <c r="F29" s="122" t="e">
        <f t="shared" si="0"/>
        <v>#REF!</v>
      </c>
      <c r="G29" s="123" t="s">
        <v>179</v>
      </c>
      <c r="H29" s="124" t="e">
        <f>SUM(80/I29)*C29</f>
        <v>#REF!</v>
      </c>
      <c r="I29" s="122">
        <v>4</v>
      </c>
      <c r="J29" s="125" t="s">
        <v>180</v>
      </c>
      <c r="K29" s="126" t="e">
        <f t="shared" si="1"/>
        <v>#REF!</v>
      </c>
    </row>
    <row r="30" spans="3:11">
      <c r="C30" s="119" t="e">
        <f>#REF!</f>
        <v>#REF!</v>
      </c>
      <c r="D30" s="120" t="s">
        <v>96</v>
      </c>
      <c r="E30" s="121">
        <v>5.25</v>
      </c>
      <c r="F30" s="122" t="e">
        <f t="shared" si="0"/>
        <v>#REF!</v>
      </c>
      <c r="G30" s="123" t="s">
        <v>179</v>
      </c>
      <c r="H30" s="127" t="e">
        <f>SUM(15*I30)*C30</f>
        <v>#REF!</v>
      </c>
      <c r="I30" s="122">
        <v>0.33</v>
      </c>
      <c r="J30" s="128" t="s">
        <v>180</v>
      </c>
      <c r="K30" s="126" t="e">
        <f t="shared" si="1"/>
        <v>#REF!</v>
      </c>
    </row>
    <row r="31" spans="3:11">
      <c r="C31" s="119" t="e">
        <f>#REF!</f>
        <v>#REF!</v>
      </c>
      <c r="D31" s="120" t="s">
        <v>188</v>
      </c>
      <c r="E31" s="121">
        <v>34.5</v>
      </c>
      <c r="F31" s="122" t="e">
        <f t="shared" si="0"/>
        <v>#REF!</v>
      </c>
      <c r="G31" s="123" t="s">
        <v>179</v>
      </c>
      <c r="H31" s="127" t="e">
        <f>SUM(80/I31)*C31</f>
        <v>#REF!</v>
      </c>
      <c r="I31" s="122">
        <v>2</v>
      </c>
      <c r="J31" s="128" t="s">
        <v>180</v>
      </c>
      <c r="K31" s="126" t="e">
        <f t="shared" si="1"/>
        <v>#REF!</v>
      </c>
    </row>
    <row r="32" spans="3:11">
      <c r="C32" s="119" t="e">
        <f>#REF!</f>
        <v>#REF!</v>
      </c>
      <c r="D32" s="120" t="s">
        <v>189</v>
      </c>
      <c r="E32" s="121">
        <v>50</v>
      </c>
      <c r="F32" s="122" t="e">
        <f t="shared" si="0"/>
        <v>#REF!</v>
      </c>
      <c r="G32" s="123" t="s">
        <v>179</v>
      </c>
      <c r="H32" s="127" t="e">
        <f t="shared" ref="H32:H46" si="2">SUM(80/I32)*C32</f>
        <v>#REF!</v>
      </c>
      <c r="I32" s="122">
        <v>1</v>
      </c>
      <c r="J32" s="128"/>
      <c r="K32" s="126" t="e">
        <f t="shared" si="1"/>
        <v>#REF!</v>
      </c>
    </row>
    <row r="33" spans="3:11">
      <c r="C33" s="119" t="e">
        <f>#REF!</f>
        <v>#REF!</v>
      </c>
      <c r="D33" s="120" t="s">
        <v>99</v>
      </c>
      <c r="E33" s="121">
        <v>135</v>
      </c>
      <c r="F33" s="122" t="e">
        <f t="shared" si="0"/>
        <v>#REF!</v>
      </c>
      <c r="G33" s="123" t="s">
        <v>179</v>
      </c>
      <c r="H33" s="127" t="e">
        <f t="shared" si="2"/>
        <v>#REF!</v>
      </c>
      <c r="I33" s="122">
        <v>0.5</v>
      </c>
      <c r="J33" s="128" t="s">
        <v>180</v>
      </c>
      <c r="K33" s="126" t="e">
        <f t="shared" si="1"/>
        <v>#REF!</v>
      </c>
    </row>
    <row r="34" spans="3:11" ht="11.25">
      <c r="C34" s="119" t="e">
        <f>#REF!</f>
        <v>#REF!</v>
      </c>
      <c r="D34" s="120" t="s">
        <v>190</v>
      </c>
      <c r="E34" s="121">
        <v>115</v>
      </c>
      <c r="F34" s="122" t="e">
        <f t="shared" si="0"/>
        <v>#REF!</v>
      </c>
      <c r="G34" s="123" t="s">
        <v>179</v>
      </c>
      <c r="H34" s="127" t="e">
        <f t="shared" si="2"/>
        <v>#REF!</v>
      </c>
      <c r="I34" s="122">
        <v>1</v>
      </c>
      <c r="J34" s="128" t="s">
        <v>180</v>
      </c>
      <c r="K34" s="126" t="e">
        <f t="shared" si="1"/>
        <v>#REF!</v>
      </c>
    </row>
    <row r="35" spans="3:11">
      <c r="C35" s="119" t="e">
        <f>#REF!</f>
        <v>#REF!</v>
      </c>
      <c r="D35" s="120" t="s">
        <v>101</v>
      </c>
      <c r="E35" s="121">
        <v>75</v>
      </c>
      <c r="F35" s="122" t="e">
        <f t="shared" si="0"/>
        <v>#REF!</v>
      </c>
      <c r="G35" s="123" t="s">
        <v>179</v>
      </c>
      <c r="H35" s="127" t="e">
        <f t="shared" si="2"/>
        <v>#REF!</v>
      </c>
      <c r="I35" s="122">
        <v>2</v>
      </c>
      <c r="J35" s="128" t="s">
        <v>180</v>
      </c>
      <c r="K35" s="126" t="e">
        <f t="shared" si="1"/>
        <v>#REF!</v>
      </c>
    </row>
    <row r="36" spans="3:11">
      <c r="C36" s="119" t="e">
        <f>#REF!</f>
        <v>#REF!</v>
      </c>
      <c r="D36" s="120" t="s">
        <v>102</v>
      </c>
      <c r="E36" s="121">
        <v>138</v>
      </c>
      <c r="F36" s="122" t="e">
        <f t="shared" si="0"/>
        <v>#REF!</v>
      </c>
      <c r="G36" s="123" t="s">
        <v>179</v>
      </c>
      <c r="H36" s="127" t="e">
        <f t="shared" si="2"/>
        <v>#REF!</v>
      </c>
      <c r="I36" s="122">
        <v>1</v>
      </c>
      <c r="J36" s="128" t="s">
        <v>180</v>
      </c>
      <c r="K36" s="126" t="e">
        <f t="shared" si="1"/>
        <v>#REF!</v>
      </c>
    </row>
    <row r="37" spans="3:11">
      <c r="C37" s="119" t="e">
        <f>#REF!</f>
        <v>#REF!</v>
      </c>
      <c r="D37" s="120" t="s">
        <v>103</v>
      </c>
      <c r="E37" s="121">
        <v>30</v>
      </c>
      <c r="F37" s="122" t="e">
        <f t="shared" si="0"/>
        <v>#REF!</v>
      </c>
      <c r="G37" s="123" t="s">
        <v>179</v>
      </c>
      <c r="H37" s="127" t="e">
        <f t="shared" si="2"/>
        <v>#REF!</v>
      </c>
      <c r="I37" s="122">
        <v>2</v>
      </c>
      <c r="J37" s="128" t="s">
        <v>180</v>
      </c>
      <c r="K37" s="126" t="e">
        <f t="shared" si="1"/>
        <v>#REF!</v>
      </c>
    </row>
    <row r="38" spans="3:11">
      <c r="C38" s="119" t="e">
        <f>#REF!</f>
        <v>#REF!</v>
      </c>
      <c r="D38" s="120" t="s">
        <v>104</v>
      </c>
      <c r="E38" s="121">
        <v>30</v>
      </c>
      <c r="F38" s="122" t="e">
        <f t="shared" si="0"/>
        <v>#REF!</v>
      </c>
      <c r="G38" s="123" t="s">
        <v>179</v>
      </c>
      <c r="H38" s="127" t="e">
        <f t="shared" si="2"/>
        <v>#REF!</v>
      </c>
      <c r="I38" s="122">
        <v>2</v>
      </c>
      <c r="J38" s="128" t="s">
        <v>180</v>
      </c>
      <c r="K38" s="126" t="e">
        <f t="shared" si="1"/>
        <v>#REF!</v>
      </c>
    </row>
    <row r="39" spans="3:11">
      <c r="C39" s="119" t="e">
        <f>#REF!</f>
        <v>#REF!</v>
      </c>
      <c r="D39" s="120" t="s">
        <v>105</v>
      </c>
      <c r="E39" s="121">
        <v>246</v>
      </c>
      <c r="F39" s="122" t="e">
        <f t="shared" si="0"/>
        <v>#REF!</v>
      </c>
      <c r="G39" s="128" t="s">
        <v>179</v>
      </c>
      <c r="H39" s="127" t="e">
        <f t="shared" si="2"/>
        <v>#REF!</v>
      </c>
      <c r="I39" s="122">
        <v>0.5</v>
      </c>
      <c r="J39" s="128" t="s">
        <v>180</v>
      </c>
      <c r="K39" s="126" t="e">
        <f t="shared" si="1"/>
        <v>#REF!</v>
      </c>
    </row>
    <row r="40" spans="3:11">
      <c r="C40" s="119" t="e">
        <f>#REF!</f>
        <v>#REF!</v>
      </c>
      <c r="D40" s="120" t="s">
        <v>106</v>
      </c>
      <c r="E40" s="121">
        <v>11.5</v>
      </c>
      <c r="F40" s="122" t="e">
        <f t="shared" si="0"/>
        <v>#REF!</v>
      </c>
      <c r="G40" s="128" t="s">
        <v>179</v>
      </c>
      <c r="H40" s="127" t="e">
        <f t="shared" si="2"/>
        <v>#REF!</v>
      </c>
      <c r="I40" s="122">
        <v>30</v>
      </c>
      <c r="J40" s="128" t="s">
        <v>180</v>
      </c>
      <c r="K40" s="126" t="e">
        <f t="shared" si="1"/>
        <v>#REF!</v>
      </c>
    </row>
    <row r="41" spans="3:11">
      <c r="C41" s="119" t="e">
        <f>#REF!</f>
        <v>#REF!</v>
      </c>
      <c r="D41" s="120" t="s">
        <v>107</v>
      </c>
      <c r="E41" s="121">
        <v>20</v>
      </c>
      <c r="F41" s="122" t="e">
        <f t="shared" si="0"/>
        <v>#REF!</v>
      </c>
      <c r="G41" s="128" t="s">
        <v>179</v>
      </c>
      <c r="H41" s="127" t="e">
        <f t="shared" si="2"/>
        <v>#REF!</v>
      </c>
      <c r="I41" s="122">
        <v>30</v>
      </c>
      <c r="J41" s="128" t="s">
        <v>180</v>
      </c>
      <c r="K41" s="126" t="e">
        <f t="shared" si="1"/>
        <v>#REF!</v>
      </c>
    </row>
    <row r="42" spans="3:11">
      <c r="C42" s="119" t="e">
        <f>#REF!</f>
        <v>#REF!</v>
      </c>
      <c r="D42" s="120" t="s">
        <v>108</v>
      </c>
      <c r="E42" s="121">
        <v>7.5</v>
      </c>
      <c r="F42" s="122" t="e">
        <f t="shared" si="0"/>
        <v>#REF!</v>
      </c>
      <c r="G42" s="128" t="s">
        <v>179</v>
      </c>
      <c r="H42" s="127" t="e">
        <f t="shared" si="2"/>
        <v>#REF!</v>
      </c>
      <c r="I42" s="122">
        <v>30</v>
      </c>
      <c r="J42" s="128" t="s">
        <v>180</v>
      </c>
      <c r="K42" s="126" t="e">
        <f t="shared" si="1"/>
        <v>#REF!</v>
      </c>
    </row>
    <row r="43" spans="3:11">
      <c r="C43" s="119" t="e">
        <f>#REF!</f>
        <v>#REF!</v>
      </c>
      <c r="D43" s="120" t="s">
        <v>109</v>
      </c>
      <c r="E43" s="121">
        <v>10</v>
      </c>
      <c r="F43" s="122" t="e">
        <f t="shared" si="0"/>
        <v>#REF!</v>
      </c>
      <c r="G43" s="128" t="s">
        <v>179</v>
      </c>
      <c r="H43" s="127" t="e">
        <f t="shared" si="2"/>
        <v>#REF!</v>
      </c>
      <c r="I43" s="122">
        <v>30</v>
      </c>
      <c r="J43" s="128" t="s">
        <v>180</v>
      </c>
      <c r="K43" s="126" t="e">
        <f t="shared" si="1"/>
        <v>#REF!</v>
      </c>
    </row>
    <row r="44" spans="3:11">
      <c r="C44" s="119" t="e">
        <f>#REF!</f>
        <v>#REF!</v>
      </c>
      <c r="D44" s="120" t="s">
        <v>110</v>
      </c>
      <c r="E44" s="121">
        <v>5.75</v>
      </c>
      <c r="F44" s="122" t="e">
        <f t="shared" si="0"/>
        <v>#REF!</v>
      </c>
      <c r="G44" s="128" t="s">
        <v>179</v>
      </c>
      <c r="H44" s="127" t="e">
        <f t="shared" si="2"/>
        <v>#REF!</v>
      </c>
      <c r="I44" s="122">
        <v>6</v>
      </c>
      <c r="J44" s="128" t="s">
        <v>180</v>
      </c>
      <c r="K44" s="126" t="e">
        <f t="shared" si="1"/>
        <v>#REF!</v>
      </c>
    </row>
    <row r="45" spans="3:11">
      <c r="C45" s="119" t="e">
        <f>#REF!</f>
        <v>#REF!</v>
      </c>
      <c r="D45" s="120" t="s">
        <v>191</v>
      </c>
      <c r="E45" s="121">
        <v>115</v>
      </c>
      <c r="F45" s="122" t="e">
        <f>C45*E45</f>
        <v>#REF!</v>
      </c>
      <c r="G45" s="128" t="s">
        <v>179</v>
      </c>
      <c r="H45" s="127" t="e">
        <f>SUM(80*I45)*C45</f>
        <v>#REF!</v>
      </c>
      <c r="I45" s="122">
        <v>0.5</v>
      </c>
      <c r="J45" s="128" t="s">
        <v>180</v>
      </c>
      <c r="K45" s="126" t="e">
        <f t="shared" si="1"/>
        <v>#REF!</v>
      </c>
    </row>
    <row r="46" spans="3:11" ht="11.25" thickBot="1">
      <c r="C46" s="129" t="e">
        <f>#REF!</f>
        <v>#REF!</v>
      </c>
      <c r="D46" s="130" t="s">
        <v>192</v>
      </c>
      <c r="E46" s="131">
        <v>125</v>
      </c>
      <c r="F46" s="132" t="e">
        <f>C46*E46</f>
        <v>#REF!</v>
      </c>
      <c r="G46" s="133" t="s">
        <v>179</v>
      </c>
      <c r="H46" s="134" t="e">
        <f t="shared" si="2"/>
        <v>#REF!</v>
      </c>
      <c r="I46" s="132">
        <v>1</v>
      </c>
      <c r="J46" s="133" t="s">
        <v>180</v>
      </c>
      <c r="K46" s="135" t="e">
        <f t="shared" si="1"/>
        <v>#REF!</v>
      </c>
    </row>
    <row r="47" spans="3:11" ht="11.25" thickBot="1">
      <c r="C47" s="108"/>
      <c r="D47" s="108"/>
      <c r="F47" s="136"/>
      <c r="G47" s="137"/>
      <c r="I47" s="94"/>
      <c r="J47" s="138" t="s">
        <v>193</v>
      </c>
      <c r="K47" s="139" t="e">
        <f>SUM(K21:K46)</f>
        <v>#REF!</v>
      </c>
    </row>
    <row r="49" spans="3:11">
      <c r="C49" s="108" t="s">
        <v>194</v>
      </c>
    </row>
    <row r="51" spans="3:11" ht="11.25" thickBot="1">
      <c r="C51" s="109" t="s">
        <v>174</v>
      </c>
      <c r="D51" s="109" t="s">
        <v>175</v>
      </c>
      <c r="F51" s="109"/>
      <c r="G51" s="110" t="s">
        <v>177</v>
      </c>
      <c r="I51" s="109"/>
    </row>
    <row r="52" spans="3:11">
      <c r="C52" s="111" t="e">
        <f>#REF!</f>
        <v>#REF!</v>
      </c>
      <c r="D52" s="112" t="s">
        <v>178</v>
      </c>
      <c r="E52" s="113">
        <v>2</v>
      </c>
      <c r="F52" s="114" t="e">
        <f t="shared" ref="F52:F67" si="3">C52*E52</f>
        <v>#REF!</v>
      </c>
      <c r="G52" s="115" t="s">
        <v>179</v>
      </c>
      <c r="H52" s="116" t="e">
        <f>SUM(80/I52)*C52</f>
        <v>#REF!</v>
      </c>
      <c r="I52" s="114">
        <v>30</v>
      </c>
      <c r="J52" s="117" t="s">
        <v>180</v>
      </c>
      <c r="K52" s="118" t="e">
        <f t="shared" ref="K52:K67" si="4">F52+H52</f>
        <v>#REF!</v>
      </c>
    </row>
    <row r="53" spans="3:11">
      <c r="C53" s="119" t="e">
        <f>#REF!</f>
        <v>#REF!</v>
      </c>
      <c r="D53" s="120" t="s">
        <v>181</v>
      </c>
      <c r="E53" s="121">
        <v>4.25</v>
      </c>
      <c r="F53" s="122" t="e">
        <f t="shared" si="3"/>
        <v>#REF!</v>
      </c>
      <c r="G53" s="123" t="s">
        <v>179</v>
      </c>
      <c r="H53" s="124" t="e">
        <f>SUM(80/I53)*C53</f>
        <v>#REF!</v>
      </c>
      <c r="I53" s="122">
        <v>30</v>
      </c>
      <c r="J53" s="125"/>
      <c r="K53" s="126" t="e">
        <f t="shared" si="4"/>
        <v>#REF!</v>
      </c>
    </row>
    <row r="54" spans="3:11">
      <c r="C54" s="119" t="e">
        <f>#REF!</f>
        <v>#REF!</v>
      </c>
      <c r="D54" s="120" t="s">
        <v>182</v>
      </c>
      <c r="E54" s="121">
        <v>10</v>
      </c>
      <c r="F54" s="122" t="e">
        <f t="shared" si="3"/>
        <v>#REF!</v>
      </c>
      <c r="G54" s="123" t="s">
        <v>179</v>
      </c>
      <c r="H54" s="124" t="e">
        <f>SUM(80/I54)*C54</f>
        <v>#REF!</v>
      </c>
      <c r="I54" s="122">
        <v>12</v>
      </c>
      <c r="J54" s="125" t="s">
        <v>180</v>
      </c>
      <c r="K54" s="126" t="e">
        <f t="shared" si="4"/>
        <v>#REF!</v>
      </c>
    </row>
    <row r="55" spans="3:11">
      <c r="C55" s="119" t="e">
        <f>#REF!</f>
        <v>#REF!</v>
      </c>
      <c r="D55" s="120" t="s">
        <v>183</v>
      </c>
      <c r="E55" s="121">
        <v>4</v>
      </c>
      <c r="F55" s="122" t="e">
        <f t="shared" si="3"/>
        <v>#REF!</v>
      </c>
      <c r="G55" s="123" t="s">
        <v>179</v>
      </c>
      <c r="H55" s="124" t="e">
        <f>SUM(80/I55)*C55</f>
        <v>#REF!</v>
      </c>
      <c r="I55" s="122">
        <v>7</v>
      </c>
      <c r="J55" s="125" t="s">
        <v>180</v>
      </c>
      <c r="K55" s="126" t="e">
        <f t="shared" si="4"/>
        <v>#REF!</v>
      </c>
    </row>
    <row r="56" spans="3:11">
      <c r="C56" s="119" t="e">
        <f>#REF!</f>
        <v>#REF!</v>
      </c>
      <c r="D56" s="120" t="s">
        <v>184</v>
      </c>
      <c r="E56" s="121">
        <v>8</v>
      </c>
      <c r="F56" s="122" t="e">
        <f t="shared" si="3"/>
        <v>#REF!</v>
      </c>
      <c r="G56" s="123" t="s">
        <v>179</v>
      </c>
      <c r="H56" s="124" t="e">
        <f>SUM(80/I55)*C56</f>
        <v>#REF!</v>
      </c>
      <c r="I56" s="122">
        <v>7</v>
      </c>
      <c r="J56" s="125" t="s">
        <v>180</v>
      </c>
      <c r="K56" s="126" t="e">
        <f t="shared" si="4"/>
        <v>#REF!</v>
      </c>
    </row>
    <row r="57" spans="3:11">
      <c r="C57" s="119" t="e">
        <f>#REF!</f>
        <v>#REF!</v>
      </c>
      <c r="D57" s="120" t="s">
        <v>185</v>
      </c>
      <c r="E57" s="121">
        <v>7</v>
      </c>
      <c r="F57" s="122" t="e">
        <f t="shared" si="3"/>
        <v>#REF!</v>
      </c>
      <c r="G57" s="123" t="s">
        <v>179</v>
      </c>
      <c r="H57" s="124" t="e">
        <f>SUM(80/I57)*C57</f>
        <v>#REF!</v>
      </c>
      <c r="I57" s="122">
        <v>6</v>
      </c>
      <c r="J57" s="125" t="s">
        <v>180</v>
      </c>
      <c r="K57" s="126" t="e">
        <f t="shared" si="4"/>
        <v>#REF!</v>
      </c>
    </row>
    <row r="58" spans="3:11">
      <c r="C58" s="119" t="e">
        <f>#REF!</f>
        <v>#REF!</v>
      </c>
      <c r="D58" s="120" t="s">
        <v>186</v>
      </c>
      <c r="E58" s="121">
        <v>15</v>
      </c>
      <c r="F58" s="122" t="e">
        <f t="shared" si="3"/>
        <v>#REF!</v>
      </c>
      <c r="G58" s="123" t="s">
        <v>179</v>
      </c>
      <c r="H58" s="124" t="e">
        <f>SUM(80/I58)*C58</f>
        <v>#REF!</v>
      </c>
      <c r="I58" s="122">
        <v>3</v>
      </c>
      <c r="J58" s="125" t="s">
        <v>180</v>
      </c>
      <c r="K58" s="126" t="e">
        <f t="shared" si="4"/>
        <v>#REF!</v>
      </c>
    </row>
    <row r="59" spans="3:11">
      <c r="C59" s="119" t="e">
        <f>#REF!</f>
        <v>#REF!</v>
      </c>
      <c r="D59" s="120" t="s">
        <v>113</v>
      </c>
      <c r="E59" s="121">
        <v>150</v>
      </c>
      <c r="F59" s="122" t="e">
        <f>C59*E59</f>
        <v>#REF!</v>
      </c>
      <c r="G59" s="123" t="s">
        <v>179</v>
      </c>
      <c r="H59" s="127" t="e">
        <f>SUM(80*I59)*C59</f>
        <v>#REF!</v>
      </c>
      <c r="I59" s="122">
        <v>1</v>
      </c>
      <c r="J59" s="128" t="s">
        <v>180</v>
      </c>
      <c r="K59" s="126" t="e">
        <f t="shared" si="4"/>
        <v>#REF!</v>
      </c>
    </row>
    <row r="60" spans="3:11">
      <c r="C60" s="119" t="e">
        <f>#REF!</f>
        <v>#REF!</v>
      </c>
      <c r="D60" s="120" t="s">
        <v>94</v>
      </c>
      <c r="E60" s="121">
        <v>3.5</v>
      </c>
      <c r="F60" s="122" t="e">
        <f t="shared" si="3"/>
        <v>#REF!</v>
      </c>
      <c r="G60" s="123" t="s">
        <v>179</v>
      </c>
      <c r="H60" s="124" t="e">
        <f t="shared" ref="H60:H67" si="5">SUM(80/I60)*C60</f>
        <v>#REF!</v>
      </c>
      <c r="I60" s="122">
        <v>7</v>
      </c>
      <c r="J60" s="125" t="s">
        <v>180</v>
      </c>
      <c r="K60" s="126" t="e">
        <f t="shared" si="4"/>
        <v>#REF!</v>
      </c>
    </row>
    <row r="61" spans="3:11">
      <c r="C61" s="119" t="e">
        <f>#REF!</f>
        <v>#REF!</v>
      </c>
      <c r="D61" s="120" t="s">
        <v>187</v>
      </c>
      <c r="E61" s="121">
        <v>20</v>
      </c>
      <c r="F61" s="122" t="e">
        <f t="shared" si="3"/>
        <v>#REF!</v>
      </c>
      <c r="G61" s="123" t="s">
        <v>179</v>
      </c>
      <c r="H61" s="124" t="e">
        <f t="shared" si="5"/>
        <v>#REF!</v>
      </c>
      <c r="I61" s="122">
        <v>4</v>
      </c>
      <c r="J61" s="125" t="s">
        <v>180</v>
      </c>
      <c r="K61" s="126" t="e">
        <f t="shared" si="4"/>
        <v>#REF!</v>
      </c>
    </row>
    <row r="62" spans="3:11">
      <c r="C62" s="119" t="e">
        <f>#REF!</f>
        <v>#REF!</v>
      </c>
      <c r="D62" s="120" t="s">
        <v>114</v>
      </c>
      <c r="E62" s="121">
        <v>3.45</v>
      </c>
      <c r="F62" s="122" t="e">
        <f t="shared" si="3"/>
        <v>#REF!</v>
      </c>
      <c r="G62" s="140" t="s">
        <v>179</v>
      </c>
      <c r="H62" s="124" t="e">
        <f t="shared" si="5"/>
        <v>#REF!</v>
      </c>
      <c r="I62" s="122">
        <v>6</v>
      </c>
      <c r="J62" s="125" t="s">
        <v>180</v>
      </c>
      <c r="K62" s="126" t="e">
        <f t="shared" si="4"/>
        <v>#REF!</v>
      </c>
    </row>
    <row r="63" spans="3:11">
      <c r="C63" s="119" t="e">
        <f>#REF!</f>
        <v>#REF!</v>
      </c>
      <c r="D63" s="120" t="s">
        <v>115</v>
      </c>
      <c r="E63" s="121">
        <v>8.0500000000000007</v>
      </c>
      <c r="F63" s="122" t="e">
        <f t="shared" si="3"/>
        <v>#REF!</v>
      </c>
      <c r="G63" s="123" t="s">
        <v>179</v>
      </c>
      <c r="H63" s="124" t="e">
        <f t="shared" si="5"/>
        <v>#REF!</v>
      </c>
      <c r="I63" s="122">
        <v>6</v>
      </c>
      <c r="J63" s="125" t="s">
        <v>180</v>
      </c>
      <c r="K63" s="126" t="e">
        <f t="shared" si="4"/>
        <v>#REF!</v>
      </c>
    </row>
    <row r="64" spans="3:11">
      <c r="C64" s="119" t="e">
        <f>#REF!</f>
        <v>#REF!</v>
      </c>
      <c r="D64" s="120" t="s">
        <v>116</v>
      </c>
      <c r="E64" s="121">
        <v>11.5</v>
      </c>
      <c r="F64" s="122" t="e">
        <f t="shared" si="3"/>
        <v>#REF!</v>
      </c>
      <c r="G64" s="123" t="s">
        <v>179</v>
      </c>
      <c r="H64" s="124" t="e">
        <f t="shared" si="5"/>
        <v>#REF!</v>
      </c>
      <c r="I64" s="122">
        <v>3</v>
      </c>
      <c r="J64" s="125" t="s">
        <v>180</v>
      </c>
      <c r="K64" s="126" t="e">
        <f t="shared" si="4"/>
        <v>#REF!</v>
      </c>
    </row>
    <row r="65" spans="3:11">
      <c r="C65" s="119" t="e">
        <f>#REF!</f>
        <v>#REF!</v>
      </c>
      <c r="D65" s="141" t="s">
        <v>195</v>
      </c>
      <c r="E65" s="142">
        <v>9.92</v>
      </c>
      <c r="F65" s="143" t="e">
        <f t="shared" si="3"/>
        <v>#REF!</v>
      </c>
      <c r="G65" s="144" t="s">
        <v>179</v>
      </c>
      <c r="H65" s="145" t="e">
        <f t="shared" si="5"/>
        <v>#REF!</v>
      </c>
      <c r="I65" s="143">
        <v>8</v>
      </c>
      <c r="J65" s="146" t="s">
        <v>180</v>
      </c>
      <c r="K65" s="147" t="e">
        <f t="shared" si="4"/>
        <v>#REF!</v>
      </c>
    </row>
    <row r="66" spans="3:11">
      <c r="C66" s="119" t="e">
        <f>#REF!</f>
        <v>#REF!</v>
      </c>
      <c r="D66" s="141" t="s">
        <v>196</v>
      </c>
      <c r="E66" s="142">
        <v>17.25</v>
      </c>
      <c r="F66" s="143" t="e">
        <f t="shared" si="3"/>
        <v>#REF!</v>
      </c>
      <c r="G66" s="144"/>
      <c r="H66" s="145" t="e">
        <f t="shared" si="5"/>
        <v>#REF!</v>
      </c>
      <c r="I66" s="143">
        <v>6</v>
      </c>
      <c r="J66" s="146"/>
      <c r="K66" s="147" t="e">
        <f t="shared" si="4"/>
        <v>#REF!</v>
      </c>
    </row>
    <row r="67" spans="3:11" ht="11.25" thickBot="1">
      <c r="C67" s="129" t="e">
        <f>#REF!</f>
        <v>#REF!</v>
      </c>
      <c r="D67" s="148" t="s">
        <v>119</v>
      </c>
      <c r="E67" s="149">
        <v>5.75</v>
      </c>
      <c r="F67" s="150" t="e">
        <f t="shared" si="3"/>
        <v>#REF!</v>
      </c>
      <c r="G67" s="151" t="s">
        <v>179</v>
      </c>
      <c r="H67" s="152" t="e">
        <f t="shared" si="5"/>
        <v>#REF!</v>
      </c>
      <c r="I67" s="150">
        <v>6</v>
      </c>
      <c r="J67" s="153" t="s">
        <v>180</v>
      </c>
      <c r="K67" s="154" t="e">
        <f t="shared" si="4"/>
        <v>#REF!</v>
      </c>
    </row>
    <row r="68" spans="3:11" ht="11.25" thickBot="1">
      <c r="D68" s="108"/>
      <c r="E68" s="108"/>
      <c r="F68" s="108"/>
      <c r="G68" s="108"/>
      <c r="H68" s="108"/>
      <c r="I68" s="108"/>
      <c r="J68" s="138" t="s">
        <v>193</v>
      </c>
      <c r="K68" s="139" t="e">
        <f>SUM(K52:K67)</f>
        <v>#REF!</v>
      </c>
    </row>
    <row r="71" spans="3:11">
      <c r="C71" s="108" t="s">
        <v>197</v>
      </c>
    </row>
  </sheetData>
  <sheetProtection password="CC5F" sheet="1" objects="1" scenarios="1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B98"/>
  <sheetViews>
    <sheetView zoomScale="60" zoomScaleNormal="60" workbookViewId="0">
      <pane xSplit="17" ySplit="14" topLeftCell="R15" activePane="bottomRight" state="frozen"/>
      <selection pane="bottomRight" activeCell="B23" sqref="B23"/>
      <selection pane="bottomLeft" activeCell="T16" sqref="T16"/>
      <selection pane="topRight" activeCell="T16" sqref="T16"/>
    </sheetView>
  </sheetViews>
  <sheetFormatPr defaultRowHeight="20.25"/>
  <cols>
    <col min="1" max="1" width="4.5703125" style="3" customWidth="1"/>
    <col min="2" max="2" width="40.7109375" style="3" customWidth="1"/>
    <col min="3" max="9" width="4.7109375" style="3" customWidth="1"/>
    <col min="10" max="10" width="5.28515625" style="3" customWidth="1"/>
    <col min="11" max="12" width="4.7109375" style="3" customWidth="1"/>
    <col min="13" max="13" width="6.5703125" style="5" bestFit="1" customWidth="1"/>
    <col min="14" max="14" width="4.7109375" style="5" customWidth="1"/>
    <col min="15" max="15" width="6.5703125" style="5" bestFit="1" customWidth="1"/>
    <col min="16" max="17" width="4.7109375" style="5" customWidth="1"/>
    <col min="18" max="60" width="4.7109375" style="3" customWidth="1"/>
    <col min="61" max="78" width="3.28515625" style="3" customWidth="1"/>
    <col min="79" max="79" width="3" style="3" customWidth="1"/>
    <col min="80" max="80" width="3.28515625" style="3" customWidth="1"/>
    <col min="81" max="271" width="8.7109375" style="3"/>
    <col min="272" max="272" width="20" style="3" customWidth="1"/>
    <col min="273" max="273" width="42.5703125" style="3" customWidth="1"/>
    <col min="274" max="281" width="3.28515625" style="3" customWidth="1"/>
    <col min="282" max="282" width="4.7109375" style="3" customWidth="1"/>
    <col min="283" max="290" width="3.28515625" style="3" customWidth="1"/>
    <col min="291" max="291" width="4.140625" style="3" customWidth="1"/>
    <col min="292" max="324" width="3.28515625" style="3" customWidth="1"/>
    <col min="325" max="325" width="39.7109375" style="3" customWidth="1"/>
    <col min="326" max="527" width="8.7109375" style="3"/>
    <col min="528" max="528" width="20" style="3" customWidth="1"/>
    <col min="529" max="529" width="42.5703125" style="3" customWidth="1"/>
    <col min="530" max="537" width="3.28515625" style="3" customWidth="1"/>
    <col min="538" max="538" width="4.7109375" style="3" customWidth="1"/>
    <col min="539" max="546" width="3.28515625" style="3" customWidth="1"/>
    <col min="547" max="547" width="4.140625" style="3" customWidth="1"/>
    <col min="548" max="580" width="3.28515625" style="3" customWidth="1"/>
    <col min="581" max="581" width="39.7109375" style="3" customWidth="1"/>
    <col min="582" max="783" width="8.7109375" style="3"/>
    <col min="784" max="784" width="20" style="3" customWidth="1"/>
    <col min="785" max="785" width="42.5703125" style="3" customWidth="1"/>
    <col min="786" max="793" width="3.28515625" style="3" customWidth="1"/>
    <col min="794" max="794" width="4.7109375" style="3" customWidth="1"/>
    <col min="795" max="802" width="3.28515625" style="3" customWidth="1"/>
    <col min="803" max="803" width="4.140625" style="3" customWidth="1"/>
    <col min="804" max="836" width="3.28515625" style="3" customWidth="1"/>
    <col min="837" max="837" width="39.7109375" style="3" customWidth="1"/>
    <col min="838" max="1039" width="8.7109375" style="3"/>
    <col min="1040" max="1040" width="20" style="3" customWidth="1"/>
    <col min="1041" max="1041" width="42.5703125" style="3" customWidth="1"/>
    <col min="1042" max="1049" width="3.28515625" style="3" customWidth="1"/>
    <col min="1050" max="1050" width="4.7109375" style="3" customWidth="1"/>
    <col min="1051" max="1058" width="3.28515625" style="3" customWidth="1"/>
    <col min="1059" max="1059" width="4.140625" style="3" customWidth="1"/>
    <col min="1060" max="1092" width="3.28515625" style="3" customWidth="1"/>
    <col min="1093" max="1093" width="39.7109375" style="3" customWidth="1"/>
    <col min="1094" max="1295" width="8.7109375" style="3"/>
    <col min="1296" max="1296" width="20" style="3" customWidth="1"/>
    <col min="1297" max="1297" width="42.5703125" style="3" customWidth="1"/>
    <col min="1298" max="1305" width="3.28515625" style="3" customWidth="1"/>
    <col min="1306" max="1306" width="4.7109375" style="3" customWidth="1"/>
    <col min="1307" max="1314" width="3.28515625" style="3" customWidth="1"/>
    <col min="1315" max="1315" width="4.140625" style="3" customWidth="1"/>
    <col min="1316" max="1348" width="3.28515625" style="3" customWidth="1"/>
    <col min="1349" max="1349" width="39.7109375" style="3" customWidth="1"/>
    <col min="1350" max="1551" width="8.7109375" style="3"/>
    <col min="1552" max="1552" width="20" style="3" customWidth="1"/>
    <col min="1553" max="1553" width="42.5703125" style="3" customWidth="1"/>
    <col min="1554" max="1561" width="3.28515625" style="3" customWidth="1"/>
    <col min="1562" max="1562" width="4.7109375" style="3" customWidth="1"/>
    <col min="1563" max="1570" width="3.28515625" style="3" customWidth="1"/>
    <col min="1571" max="1571" width="4.140625" style="3" customWidth="1"/>
    <col min="1572" max="1604" width="3.28515625" style="3" customWidth="1"/>
    <col min="1605" max="1605" width="39.7109375" style="3" customWidth="1"/>
    <col min="1606" max="1807" width="8.7109375" style="3"/>
    <col min="1808" max="1808" width="20" style="3" customWidth="1"/>
    <col min="1809" max="1809" width="42.5703125" style="3" customWidth="1"/>
    <col min="1810" max="1817" width="3.28515625" style="3" customWidth="1"/>
    <col min="1818" max="1818" width="4.7109375" style="3" customWidth="1"/>
    <col min="1819" max="1826" width="3.28515625" style="3" customWidth="1"/>
    <col min="1827" max="1827" width="4.140625" style="3" customWidth="1"/>
    <col min="1828" max="1860" width="3.28515625" style="3" customWidth="1"/>
    <col min="1861" max="1861" width="39.7109375" style="3" customWidth="1"/>
    <col min="1862" max="2063" width="8.7109375" style="3"/>
    <col min="2064" max="2064" width="20" style="3" customWidth="1"/>
    <col min="2065" max="2065" width="42.5703125" style="3" customWidth="1"/>
    <col min="2066" max="2073" width="3.28515625" style="3" customWidth="1"/>
    <col min="2074" max="2074" width="4.7109375" style="3" customWidth="1"/>
    <col min="2075" max="2082" width="3.28515625" style="3" customWidth="1"/>
    <col min="2083" max="2083" width="4.140625" style="3" customWidth="1"/>
    <col min="2084" max="2116" width="3.28515625" style="3" customWidth="1"/>
    <col min="2117" max="2117" width="39.7109375" style="3" customWidth="1"/>
    <col min="2118" max="2319" width="8.7109375" style="3"/>
    <col min="2320" max="2320" width="20" style="3" customWidth="1"/>
    <col min="2321" max="2321" width="42.5703125" style="3" customWidth="1"/>
    <col min="2322" max="2329" width="3.28515625" style="3" customWidth="1"/>
    <col min="2330" max="2330" width="4.7109375" style="3" customWidth="1"/>
    <col min="2331" max="2338" width="3.28515625" style="3" customWidth="1"/>
    <col min="2339" max="2339" width="4.140625" style="3" customWidth="1"/>
    <col min="2340" max="2372" width="3.28515625" style="3" customWidth="1"/>
    <col min="2373" max="2373" width="39.7109375" style="3" customWidth="1"/>
    <col min="2374" max="2575" width="8.7109375" style="3"/>
    <col min="2576" max="2576" width="20" style="3" customWidth="1"/>
    <col min="2577" max="2577" width="42.5703125" style="3" customWidth="1"/>
    <col min="2578" max="2585" width="3.28515625" style="3" customWidth="1"/>
    <col min="2586" max="2586" width="4.7109375" style="3" customWidth="1"/>
    <col min="2587" max="2594" width="3.28515625" style="3" customWidth="1"/>
    <col min="2595" max="2595" width="4.140625" style="3" customWidth="1"/>
    <col min="2596" max="2628" width="3.28515625" style="3" customWidth="1"/>
    <col min="2629" max="2629" width="39.7109375" style="3" customWidth="1"/>
    <col min="2630" max="2831" width="8.7109375" style="3"/>
    <col min="2832" max="2832" width="20" style="3" customWidth="1"/>
    <col min="2833" max="2833" width="42.5703125" style="3" customWidth="1"/>
    <col min="2834" max="2841" width="3.28515625" style="3" customWidth="1"/>
    <col min="2842" max="2842" width="4.7109375" style="3" customWidth="1"/>
    <col min="2843" max="2850" width="3.28515625" style="3" customWidth="1"/>
    <col min="2851" max="2851" width="4.140625" style="3" customWidth="1"/>
    <col min="2852" max="2884" width="3.28515625" style="3" customWidth="1"/>
    <col min="2885" max="2885" width="39.7109375" style="3" customWidth="1"/>
    <col min="2886" max="3087" width="8.7109375" style="3"/>
    <col min="3088" max="3088" width="20" style="3" customWidth="1"/>
    <col min="3089" max="3089" width="42.5703125" style="3" customWidth="1"/>
    <col min="3090" max="3097" width="3.28515625" style="3" customWidth="1"/>
    <col min="3098" max="3098" width="4.7109375" style="3" customWidth="1"/>
    <col min="3099" max="3106" width="3.28515625" style="3" customWidth="1"/>
    <col min="3107" max="3107" width="4.140625" style="3" customWidth="1"/>
    <col min="3108" max="3140" width="3.28515625" style="3" customWidth="1"/>
    <col min="3141" max="3141" width="39.7109375" style="3" customWidth="1"/>
    <col min="3142" max="3343" width="8.7109375" style="3"/>
    <col min="3344" max="3344" width="20" style="3" customWidth="1"/>
    <col min="3345" max="3345" width="42.5703125" style="3" customWidth="1"/>
    <col min="3346" max="3353" width="3.28515625" style="3" customWidth="1"/>
    <col min="3354" max="3354" width="4.7109375" style="3" customWidth="1"/>
    <col min="3355" max="3362" width="3.28515625" style="3" customWidth="1"/>
    <col min="3363" max="3363" width="4.140625" style="3" customWidth="1"/>
    <col min="3364" max="3396" width="3.28515625" style="3" customWidth="1"/>
    <col min="3397" max="3397" width="39.7109375" style="3" customWidth="1"/>
    <col min="3398" max="3599" width="8.7109375" style="3"/>
    <col min="3600" max="3600" width="20" style="3" customWidth="1"/>
    <col min="3601" max="3601" width="42.5703125" style="3" customWidth="1"/>
    <col min="3602" max="3609" width="3.28515625" style="3" customWidth="1"/>
    <col min="3610" max="3610" width="4.7109375" style="3" customWidth="1"/>
    <col min="3611" max="3618" width="3.28515625" style="3" customWidth="1"/>
    <col min="3619" max="3619" width="4.140625" style="3" customWidth="1"/>
    <col min="3620" max="3652" width="3.28515625" style="3" customWidth="1"/>
    <col min="3653" max="3653" width="39.7109375" style="3" customWidth="1"/>
    <col min="3654" max="3855" width="8.7109375" style="3"/>
    <col min="3856" max="3856" width="20" style="3" customWidth="1"/>
    <col min="3857" max="3857" width="42.5703125" style="3" customWidth="1"/>
    <col min="3858" max="3865" width="3.28515625" style="3" customWidth="1"/>
    <col min="3866" max="3866" width="4.7109375" style="3" customWidth="1"/>
    <col min="3867" max="3874" width="3.28515625" style="3" customWidth="1"/>
    <col min="3875" max="3875" width="4.140625" style="3" customWidth="1"/>
    <col min="3876" max="3908" width="3.28515625" style="3" customWidth="1"/>
    <col min="3909" max="3909" width="39.7109375" style="3" customWidth="1"/>
    <col min="3910" max="4111" width="8.7109375" style="3"/>
    <col min="4112" max="4112" width="20" style="3" customWidth="1"/>
    <col min="4113" max="4113" width="42.5703125" style="3" customWidth="1"/>
    <col min="4114" max="4121" width="3.28515625" style="3" customWidth="1"/>
    <col min="4122" max="4122" width="4.7109375" style="3" customWidth="1"/>
    <col min="4123" max="4130" width="3.28515625" style="3" customWidth="1"/>
    <col min="4131" max="4131" width="4.140625" style="3" customWidth="1"/>
    <col min="4132" max="4164" width="3.28515625" style="3" customWidth="1"/>
    <col min="4165" max="4165" width="39.7109375" style="3" customWidth="1"/>
    <col min="4166" max="4367" width="8.7109375" style="3"/>
    <col min="4368" max="4368" width="20" style="3" customWidth="1"/>
    <col min="4369" max="4369" width="42.5703125" style="3" customWidth="1"/>
    <col min="4370" max="4377" width="3.28515625" style="3" customWidth="1"/>
    <col min="4378" max="4378" width="4.7109375" style="3" customWidth="1"/>
    <col min="4379" max="4386" width="3.28515625" style="3" customWidth="1"/>
    <col min="4387" max="4387" width="4.140625" style="3" customWidth="1"/>
    <col min="4388" max="4420" width="3.28515625" style="3" customWidth="1"/>
    <col min="4421" max="4421" width="39.7109375" style="3" customWidth="1"/>
    <col min="4422" max="4623" width="8.7109375" style="3"/>
    <col min="4624" max="4624" width="20" style="3" customWidth="1"/>
    <col min="4625" max="4625" width="42.5703125" style="3" customWidth="1"/>
    <col min="4626" max="4633" width="3.28515625" style="3" customWidth="1"/>
    <col min="4634" max="4634" width="4.7109375" style="3" customWidth="1"/>
    <col min="4635" max="4642" width="3.28515625" style="3" customWidth="1"/>
    <col min="4643" max="4643" width="4.140625" style="3" customWidth="1"/>
    <col min="4644" max="4676" width="3.28515625" style="3" customWidth="1"/>
    <col min="4677" max="4677" width="39.7109375" style="3" customWidth="1"/>
    <col min="4678" max="4879" width="8.7109375" style="3"/>
    <col min="4880" max="4880" width="20" style="3" customWidth="1"/>
    <col min="4881" max="4881" width="42.5703125" style="3" customWidth="1"/>
    <col min="4882" max="4889" width="3.28515625" style="3" customWidth="1"/>
    <col min="4890" max="4890" width="4.7109375" style="3" customWidth="1"/>
    <col min="4891" max="4898" width="3.28515625" style="3" customWidth="1"/>
    <col min="4899" max="4899" width="4.140625" style="3" customWidth="1"/>
    <col min="4900" max="4932" width="3.28515625" style="3" customWidth="1"/>
    <col min="4933" max="4933" width="39.7109375" style="3" customWidth="1"/>
    <col min="4934" max="5135" width="8.7109375" style="3"/>
    <col min="5136" max="5136" width="20" style="3" customWidth="1"/>
    <col min="5137" max="5137" width="42.5703125" style="3" customWidth="1"/>
    <col min="5138" max="5145" width="3.28515625" style="3" customWidth="1"/>
    <col min="5146" max="5146" width="4.7109375" style="3" customWidth="1"/>
    <col min="5147" max="5154" width="3.28515625" style="3" customWidth="1"/>
    <col min="5155" max="5155" width="4.140625" style="3" customWidth="1"/>
    <col min="5156" max="5188" width="3.28515625" style="3" customWidth="1"/>
    <col min="5189" max="5189" width="39.7109375" style="3" customWidth="1"/>
    <col min="5190" max="5391" width="8.7109375" style="3"/>
    <col min="5392" max="5392" width="20" style="3" customWidth="1"/>
    <col min="5393" max="5393" width="42.5703125" style="3" customWidth="1"/>
    <col min="5394" max="5401" width="3.28515625" style="3" customWidth="1"/>
    <col min="5402" max="5402" width="4.7109375" style="3" customWidth="1"/>
    <col min="5403" max="5410" width="3.28515625" style="3" customWidth="1"/>
    <col min="5411" max="5411" width="4.140625" style="3" customWidth="1"/>
    <col min="5412" max="5444" width="3.28515625" style="3" customWidth="1"/>
    <col min="5445" max="5445" width="39.7109375" style="3" customWidth="1"/>
    <col min="5446" max="5647" width="8.7109375" style="3"/>
    <col min="5648" max="5648" width="20" style="3" customWidth="1"/>
    <col min="5649" max="5649" width="42.5703125" style="3" customWidth="1"/>
    <col min="5650" max="5657" width="3.28515625" style="3" customWidth="1"/>
    <col min="5658" max="5658" width="4.7109375" style="3" customWidth="1"/>
    <col min="5659" max="5666" width="3.28515625" style="3" customWidth="1"/>
    <col min="5667" max="5667" width="4.140625" style="3" customWidth="1"/>
    <col min="5668" max="5700" width="3.28515625" style="3" customWidth="1"/>
    <col min="5701" max="5701" width="39.7109375" style="3" customWidth="1"/>
    <col min="5702" max="5903" width="8.7109375" style="3"/>
    <col min="5904" max="5904" width="20" style="3" customWidth="1"/>
    <col min="5905" max="5905" width="42.5703125" style="3" customWidth="1"/>
    <col min="5906" max="5913" width="3.28515625" style="3" customWidth="1"/>
    <col min="5914" max="5914" width="4.7109375" style="3" customWidth="1"/>
    <col min="5915" max="5922" width="3.28515625" style="3" customWidth="1"/>
    <col min="5923" max="5923" width="4.140625" style="3" customWidth="1"/>
    <col min="5924" max="5956" width="3.28515625" style="3" customWidth="1"/>
    <col min="5957" max="5957" width="39.7109375" style="3" customWidth="1"/>
    <col min="5958" max="6159" width="8.7109375" style="3"/>
    <col min="6160" max="6160" width="20" style="3" customWidth="1"/>
    <col min="6161" max="6161" width="42.5703125" style="3" customWidth="1"/>
    <col min="6162" max="6169" width="3.28515625" style="3" customWidth="1"/>
    <col min="6170" max="6170" width="4.7109375" style="3" customWidth="1"/>
    <col min="6171" max="6178" width="3.28515625" style="3" customWidth="1"/>
    <col min="6179" max="6179" width="4.140625" style="3" customWidth="1"/>
    <col min="6180" max="6212" width="3.28515625" style="3" customWidth="1"/>
    <col min="6213" max="6213" width="39.7109375" style="3" customWidth="1"/>
    <col min="6214" max="6415" width="8.7109375" style="3"/>
    <col min="6416" max="6416" width="20" style="3" customWidth="1"/>
    <col min="6417" max="6417" width="42.5703125" style="3" customWidth="1"/>
    <col min="6418" max="6425" width="3.28515625" style="3" customWidth="1"/>
    <col min="6426" max="6426" width="4.7109375" style="3" customWidth="1"/>
    <col min="6427" max="6434" width="3.28515625" style="3" customWidth="1"/>
    <col min="6435" max="6435" width="4.140625" style="3" customWidth="1"/>
    <col min="6436" max="6468" width="3.28515625" style="3" customWidth="1"/>
    <col min="6469" max="6469" width="39.7109375" style="3" customWidth="1"/>
    <col min="6470" max="6671" width="8.7109375" style="3"/>
    <col min="6672" max="6672" width="20" style="3" customWidth="1"/>
    <col min="6673" max="6673" width="42.5703125" style="3" customWidth="1"/>
    <col min="6674" max="6681" width="3.28515625" style="3" customWidth="1"/>
    <col min="6682" max="6682" width="4.7109375" style="3" customWidth="1"/>
    <col min="6683" max="6690" width="3.28515625" style="3" customWidth="1"/>
    <col min="6691" max="6691" width="4.140625" style="3" customWidth="1"/>
    <col min="6692" max="6724" width="3.28515625" style="3" customWidth="1"/>
    <col min="6725" max="6725" width="39.7109375" style="3" customWidth="1"/>
    <col min="6726" max="6927" width="8.7109375" style="3"/>
    <col min="6928" max="6928" width="20" style="3" customWidth="1"/>
    <col min="6929" max="6929" width="42.5703125" style="3" customWidth="1"/>
    <col min="6930" max="6937" width="3.28515625" style="3" customWidth="1"/>
    <col min="6938" max="6938" width="4.7109375" style="3" customWidth="1"/>
    <col min="6939" max="6946" width="3.28515625" style="3" customWidth="1"/>
    <col min="6947" max="6947" width="4.140625" style="3" customWidth="1"/>
    <col min="6948" max="6980" width="3.28515625" style="3" customWidth="1"/>
    <col min="6981" max="6981" width="39.7109375" style="3" customWidth="1"/>
    <col min="6982" max="7183" width="8.7109375" style="3"/>
    <col min="7184" max="7184" width="20" style="3" customWidth="1"/>
    <col min="7185" max="7185" width="42.5703125" style="3" customWidth="1"/>
    <col min="7186" max="7193" width="3.28515625" style="3" customWidth="1"/>
    <col min="7194" max="7194" width="4.7109375" style="3" customWidth="1"/>
    <col min="7195" max="7202" width="3.28515625" style="3" customWidth="1"/>
    <col min="7203" max="7203" width="4.140625" style="3" customWidth="1"/>
    <col min="7204" max="7236" width="3.28515625" style="3" customWidth="1"/>
    <col min="7237" max="7237" width="39.7109375" style="3" customWidth="1"/>
    <col min="7238" max="7439" width="8.7109375" style="3"/>
    <col min="7440" max="7440" width="20" style="3" customWidth="1"/>
    <col min="7441" max="7441" width="42.5703125" style="3" customWidth="1"/>
    <col min="7442" max="7449" width="3.28515625" style="3" customWidth="1"/>
    <col min="7450" max="7450" width="4.7109375" style="3" customWidth="1"/>
    <col min="7451" max="7458" width="3.28515625" style="3" customWidth="1"/>
    <col min="7459" max="7459" width="4.140625" style="3" customWidth="1"/>
    <col min="7460" max="7492" width="3.28515625" style="3" customWidth="1"/>
    <col min="7493" max="7493" width="39.7109375" style="3" customWidth="1"/>
    <col min="7494" max="7695" width="8.7109375" style="3"/>
    <col min="7696" max="7696" width="20" style="3" customWidth="1"/>
    <col min="7697" max="7697" width="42.5703125" style="3" customWidth="1"/>
    <col min="7698" max="7705" width="3.28515625" style="3" customWidth="1"/>
    <col min="7706" max="7706" width="4.7109375" style="3" customWidth="1"/>
    <col min="7707" max="7714" width="3.28515625" style="3" customWidth="1"/>
    <col min="7715" max="7715" width="4.140625" style="3" customWidth="1"/>
    <col min="7716" max="7748" width="3.28515625" style="3" customWidth="1"/>
    <col min="7749" max="7749" width="39.7109375" style="3" customWidth="1"/>
    <col min="7750" max="7951" width="8.7109375" style="3"/>
    <col min="7952" max="7952" width="20" style="3" customWidth="1"/>
    <col min="7953" max="7953" width="42.5703125" style="3" customWidth="1"/>
    <col min="7954" max="7961" width="3.28515625" style="3" customWidth="1"/>
    <col min="7962" max="7962" width="4.7109375" style="3" customWidth="1"/>
    <col min="7963" max="7970" width="3.28515625" style="3" customWidth="1"/>
    <col min="7971" max="7971" width="4.140625" style="3" customWidth="1"/>
    <col min="7972" max="8004" width="3.28515625" style="3" customWidth="1"/>
    <col min="8005" max="8005" width="39.7109375" style="3" customWidth="1"/>
    <col min="8006" max="8207" width="8.7109375" style="3"/>
    <col min="8208" max="8208" width="20" style="3" customWidth="1"/>
    <col min="8209" max="8209" width="42.5703125" style="3" customWidth="1"/>
    <col min="8210" max="8217" width="3.28515625" style="3" customWidth="1"/>
    <col min="8218" max="8218" width="4.7109375" style="3" customWidth="1"/>
    <col min="8219" max="8226" width="3.28515625" style="3" customWidth="1"/>
    <col min="8227" max="8227" width="4.140625" style="3" customWidth="1"/>
    <col min="8228" max="8260" width="3.28515625" style="3" customWidth="1"/>
    <col min="8261" max="8261" width="39.7109375" style="3" customWidth="1"/>
    <col min="8262" max="8463" width="8.7109375" style="3"/>
    <col min="8464" max="8464" width="20" style="3" customWidth="1"/>
    <col min="8465" max="8465" width="42.5703125" style="3" customWidth="1"/>
    <col min="8466" max="8473" width="3.28515625" style="3" customWidth="1"/>
    <col min="8474" max="8474" width="4.7109375" style="3" customWidth="1"/>
    <col min="8475" max="8482" width="3.28515625" style="3" customWidth="1"/>
    <col min="8483" max="8483" width="4.140625" style="3" customWidth="1"/>
    <col min="8484" max="8516" width="3.28515625" style="3" customWidth="1"/>
    <col min="8517" max="8517" width="39.7109375" style="3" customWidth="1"/>
    <col min="8518" max="8719" width="8.7109375" style="3"/>
    <col min="8720" max="8720" width="20" style="3" customWidth="1"/>
    <col min="8721" max="8721" width="42.5703125" style="3" customWidth="1"/>
    <col min="8722" max="8729" width="3.28515625" style="3" customWidth="1"/>
    <col min="8730" max="8730" width="4.7109375" style="3" customWidth="1"/>
    <col min="8731" max="8738" width="3.28515625" style="3" customWidth="1"/>
    <col min="8739" max="8739" width="4.140625" style="3" customWidth="1"/>
    <col min="8740" max="8772" width="3.28515625" style="3" customWidth="1"/>
    <col min="8773" max="8773" width="39.7109375" style="3" customWidth="1"/>
    <col min="8774" max="8975" width="8.7109375" style="3"/>
    <col min="8976" max="8976" width="20" style="3" customWidth="1"/>
    <col min="8977" max="8977" width="42.5703125" style="3" customWidth="1"/>
    <col min="8978" max="8985" width="3.28515625" style="3" customWidth="1"/>
    <col min="8986" max="8986" width="4.7109375" style="3" customWidth="1"/>
    <col min="8987" max="8994" width="3.28515625" style="3" customWidth="1"/>
    <col min="8995" max="8995" width="4.140625" style="3" customWidth="1"/>
    <col min="8996" max="9028" width="3.28515625" style="3" customWidth="1"/>
    <col min="9029" max="9029" width="39.7109375" style="3" customWidth="1"/>
    <col min="9030" max="9231" width="8.7109375" style="3"/>
    <col min="9232" max="9232" width="20" style="3" customWidth="1"/>
    <col min="9233" max="9233" width="42.5703125" style="3" customWidth="1"/>
    <col min="9234" max="9241" width="3.28515625" style="3" customWidth="1"/>
    <col min="9242" max="9242" width="4.7109375" style="3" customWidth="1"/>
    <col min="9243" max="9250" width="3.28515625" style="3" customWidth="1"/>
    <col min="9251" max="9251" width="4.140625" style="3" customWidth="1"/>
    <col min="9252" max="9284" width="3.28515625" style="3" customWidth="1"/>
    <col min="9285" max="9285" width="39.7109375" style="3" customWidth="1"/>
    <col min="9286" max="9487" width="8.7109375" style="3"/>
    <col min="9488" max="9488" width="20" style="3" customWidth="1"/>
    <col min="9489" max="9489" width="42.5703125" style="3" customWidth="1"/>
    <col min="9490" max="9497" width="3.28515625" style="3" customWidth="1"/>
    <col min="9498" max="9498" width="4.7109375" style="3" customWidth="1"/>
    <col min="9499" max="9506" width="3.28515625" style="3" customWidth="1"/>
    <col min="9507" max="9507" width="4.140625" style="3" customWidth="1"/>
    <col min="9508" max="9540" width="3.28515625" style="3" customWidth="1"/>
    <col min="9541" max="9541" width="39.7109375" style="3" customWidth="1"/>
    <col min="9542" max="9743" width="8.7109375" style="3"/>
    <col min="9744" max="9744" width="20" style="3" customWidth="1"/>
    <col min="9745" max="9745" width="42.5703125" style="3" customWidth="1"/>
    <col min="9746" max="9753" width="3.28515625" style="3" customWidth="1"/>
    <col min="9754" max="9754" width="4.7109375" style="3" customWidth="1"/>
    <col min="9755" max="9762" width="3.28515625" style="3" customWidth="1"/>
    <col min="9763" max="9763" width="4.140625" style="3" customWidth="1"/>
    <col min="9764" max="9796" width="3.28515625" style="3" customWidth="1"/>
    <col min="9797" max="9797" width="39.7109375" style="3" customWidth="1"/>
    <col min="9798" max="9999" width="8.7109375" style="3"/>
    <col min="10000" max="10000" width="20" style="3" customWidth="1"/>
    <col min="10001" max="10001" width="42.5703125" style="3" customWidth="1"/>
    <col min="10002" max="10009" width="3.28515625" style="3" customWidth="1"/>
    <col min="10010" max="10010" width="4.7109375" style="3" customWidth="1"/>
    <col min="10011" max="10018" width="3.28515625" style="3" customWidth="1"/>
    <col min="10019" max="10019" width="4.140625" style="3" customWidth="1"/>
    <col min="10020" max="10052" width="3.28515625" style="3" customWidth="1"/>
    <col min="10053" max="10053" width="39.7109375" style="3" customWidth="1"/>
    <col min="10054" max="10255" width="8.7109375" style="3"/>
    <col min="10256" max="10256" width="20" style="3" customWidth="1"/>
    <col min="10257" max="10257" width="42.5703125" style="3" customWidth="1"/>
    <col min="10258" max="10265" width="3.28515625" style="3" customWidth="1"/>
    <col min="10266" max="10266" width="4.7109375" style="3" customWidth="1"/>
    <col min="10267" max="10274" width="3.28515625" style="3" customWidth="1"/>
    <col min="10275" max="10275" width="4.140625" style="3" customWidth="1"/>
    <col min="10276" max="10308" width="3.28515625" style="3" customWidth="1"/>
    <col min="10309" max="10309" width="39.7109375" style="3" customWidth="1"/>
    <col min="10310" max="10511" width="8.7109375" style="3"/>
    <col min="10512" max="10512" width="20" style="3" customWidth="1"/>
    <col min="10513" max="10513" width="42.5703125" style="3" customWidth="1"/>
    <col min="10514" max="10521" width="3.28515625" style="3" customWidth="1"/>
    <col min="10522" max="10522" width="4.7109375" style="3" customWidth="1"/>
    <col min="10523" max="10530" width="3.28515625" style="3" customWidth="1"/>
    <col min="10531" max="10531" width="4.140625" style="3" customWidth="1"/>
    <col min="10532" max="10564" width="3.28515625" style="3" customWidth="1"/>
    <col min="10565" max="10565" width="39.7109375" style="3" customWidth="1"/>
    <col min="10566" max="10767" width="8.7109375" style="3"/>
    <col min="10768" max="10768" width="20" style="3" customWidth="1"/>
    <col min="10769" max="10769" width="42.5703125" style="3" customWidth="1"/>
    <col min="10770" max="10777" width="3.28515625" style="3" customWidth="1"/>
    <col min="10778" max="10778" width="4.7109375" style="3" customWidth="1"/>
    <col min="10779" max="10786" width="3.28515625" style="3" customWidth="1"/>
    <col min="10787" max="10787" width="4.140625" style="3" customWidth="1"/>
    <col min="10788" max="10820" width="3.28515625" style="3" customWidth="1"/>
    <col min="10821" max="10821" width="39.7109375" style="3" customWidth="1"/>
    <col min="10822" max="11023" width="8.7109375" style="3"/>
    <col min="11024" max="11024" width="20" style="3" customWidth="1"/>
    <col min="11025" max="11025" width="42.5703125" style="3" customWidth="1"/>
    <col min="11026" max="11033" width="3.28515625" style="3" customWidth="1"/>
    <col min="11034" max="11034" width="4.7109375" style="3" customWidth="1"/>
    <col min="11035" max="11042" width="3.28515625" style="3" customWidth="1"/>
    <col min="11043" max="11043" width="4.140625" style="3" customWidth="1"/>
    <col min="11044" max="11076" width="3.28515625" style="3" customWidth="1"/>
    <col min="11077" max="11077" width="39.7109375" style="3" customWidth="1"/>
    <col min="11078" max="11279" width="8.7109375" style="3"/>
    <col min="11280" max="11280" width="20" style="3" customWidth="1"/>
    <col min="11281" max="11281" width="42.5703125" style="3" customWidth="1"/>
    <col min="11282" max="11289" width="3.28515625" style="3" customWidth="1"/>
    <col min="11290" max="11290" width="4.7109375" style="3" customWidth="1"/>
    <col min="11291" max="11298" width="3.28515625" style="3" customWidth="1"/>
    <col min="11299" max="11299" width="4.140625" style="3" customWidth="1"/>
    <col min="11300" max="11332" width="3.28515625" style="3" customWidth="1"/>
    <col min="11333" max="11333" width="39.7109375" style="3" customWidth="1"/>
    <col min="11334" max="11535" width="8.7109375" style="3"/>
    <col min="11536" max="11536" width="20" style="3" customWidth="1"/>
    <col min="11537" max="11537" width="42.5703125" style="3" customWidth="1"/>
    <col min="11538" max="11545" width="3.28515625" style="3" customWidth="1"/>
    <col min="11546" max="11546" width="4.7109375" style="3" customWidth="1"/>
    <col min="11547" max="11554" width="3.28515625" style="3" customWidth="1"/>
    <col min="11555" max="11555" width="4.140625" style="3" customWidth="1"/>
    <col min="11556" max="11588" width="3.28515625" style="3" customWidth="1"/>
    <col min="11589" max="11589" width="39.7109375" style="3" customWidth="1"/>
    <col min="11590" max="11791" width="8.7109375" style="3"/>
    <col min="11792" max="11792" width="20" style="3" customWidth="1"/>
    <col min="11793" max="11793" width="42.5703125" style="3" customWidth="1"/>
    <col min="11794" max="11801" width="3.28515625" style="3" customWidth="1"/>
    <col min="11802" max="11802" width="4.7109375" style="3" customWidth="1"/>
    <col min="11803" max="11810" width="3.28515625" style="3" customWidth="1"/>
    <col min="11811" max="11811" width="4.140625" style="3" customWidth="1"/>
    <col min="11812" max="11844" width="3.28515625" style="3" customWidth="1"/>
    <col min="11845" max="11845" width="39.7109375" style="3" customWidth="1"/>
    <col min="11846" max="12047" width="8.7109375" style="3"/>
    <col min="12048" max="12048" width="20" style="3" customWidth="1"/>
    <col min="12049" max="12049" width="42.5703125" style="3" customWidth="1"/>
    <col min="12050" max="12057" width="3.28515625" style="3" customWidth="1"/>
    <col min="12058" max="12058" width="4.7109375" style="3" customWidth="1"/>
    <col min="12059" max="12066" width="3.28515625" style="3" customWidth="1"/>
    <col min="12067" max="12067" width="4.140625" style="3" customWidth="1"/>
    <col min="12068" max="12100" width="3.28515625" style="3" customWidth="1"/>
    <col min="12101" max="12101" width="39.7109375" style="3" customWidth="1"/>
    <col min="12102" max="12303" width="8.7109375" style="3"/>
    <col min="12304" max="12304" width="20" style="3" customWidth="1"/>
    <col min="12305" max="12305" width="42.5703125" style="3" customWidth="1"/>
    <col min="12306" max="12313" width="3.28515625" style="3" customWidth="1"/>
    <col min="12314" max="12314" width="4.7109375" style="3" customWidth="1"/>
    <col min="12315" max="12322" width="3.28515625" style="3" customWidth="1"/>
    <col min="12323" max="12323" width="4.140625" style="3" customWidth="1"/>
    <col min="12324" max="12356" width="3.28515625" style="3" customWidth="1"/>
    <col min="12357" max="12357" width="39.7109375" style="3" customWidth="1"/>
    <col min="12358" max="12559" width="8.7109375" style="3"/>
    <col min="12560" max="12560" width="20" style="3" customWidth="1"/>
    <col min="12561" max="12561" width="42.5703125" style="3" customWidth="1"/>
    <col min="12562" max="12569" width="3.28515625" style="3" customWidth="1"/>
    <col min="12570" max="12570" width="4.7109375" style="3" customWidth="1"/>
    <col min="12571" max="12578" width="3.28515625" style="3" customWidth="1"/>
    <col min="12579" max="12579" width="4.140625" style="3" customWidth="1"/>
    <col min="12580" max="12612" width="3.28515625" style="3" customWidth="1"/>
    <col min="12613" max="12613" width="39.7109375" style="3" customWidth="1"/>
    <col min="12614" max="12815" width="8.7109375" style="3"/>
    <col min="12816" max="12816" width="20" style="3" customWidth="1"/>
    <col min="12817" max="12817" width="42.5703125" style="3" customWidth="1"/>
    <col min="12818" max="12825" width="3.28515625" style="3" customWidth="1"/>
    <col min="12826" max="12826" width="4.7109375" style="3" customWidth="1"/>
    <col min="12827" max="12834" width="3.28515625" style="3" customWidth="1"/>
    <col min="12835" max="12835" width="4.140625" style="3" customWidth="1"/>
    <col min="12836" max="12868" width="3.28515625" style="3" customWidth="1"/>
    <col min="12869" max="12869" width="39.7109375" style="3" customWidth="1"/>
    <col min="12870" max="13071" width="8.7109375" style="3"/>
    <col min="13072" max="13072" width="20" style="3" customWidth="1"/>
    <col min="13073" max="13073" width="42.5703125" style="3" customWidth="1"/>
    <col min="13074" max="13081" width="3.28515625" style="3" customWidth="1"/>
    <col min="13082" max="13082" width="4.7109375" style="3" customWidth="1"/>
    <col min="13083" max="13090" width="3.28515625" style="3" customWidth="1"/>
    <col min="13091" max="13091" width="4.140625" style="3" customWidth="1"/>
    <col min="13092" max="13124" width="3.28515625" style="3" customWidth="1"/>
    <col min="13125" max="13125" width="39.7109375" style="3" customWidth="1"/>
    <col min="13126" max="13327" width="8.7109375" style="3"/>
    <col min="13328" max="13328" width="20" style="3" customWidth="1"/>
    <col min="13329" max="13329" width="42.5703125" style="3" customWidth="1"/>
    <col min="13330" max="13337" width="3.28515625" style="3" customWidth="1"/>
    <col min="13338" max="13338" width="4.7109375" style="3" customWidth="1"/>
    <col min="13339" max="13346" width="3.28515625" style="3" customWidth="1"/>
    <col min="13347" max="13347" width="4.140625" style="3" customWidth="1"/>
    <col min="13348" max="13380" width="3.28515625" style="3" customWidth="1"/>
    <col min="13381" max="13381" width="39.7109375" style="3" customWidth="1"/>
    <col min="13382" max="13583" width="8.7109375" style="3"/>
    <col min="13584" max="13584" width="20" style="3" customWidth="1"/>
    <col min="13585" max="13585" width="42.5703125" style="3" customWidth="1"/>
    <col min="13586" max="13593" width="3.28515625" style="3" customWidth="1"/>
    <col min="13594" max="13594" width="4.7109375" style="3" customWidth="1"/>
    <col min="13595" max="13602" width="3.28515625" style="3" customWidth="1"/>
    <col min="13603" max="13603" width="4.140625" style="3" customWidth="1"/>
    <col min="13604" max="13636" width="3.28515625" style="3" customWidth="1"/>
    <col min="13637" max="13637" width="39.7109375" style="3" customWidth="1"/>
    <col min="13638" max="13839" width="8.7109375" style="3"/>
    <col min="13840" max="13840" width="20" style="3" customWidth="1"/>
    <col min="13841" max="13841" width="42.5703125" style="3" customWidth="1"/>
    <col min="13842" max="13849" width="3.28515625" style="3" customWidth="1"/>
    <col min="13850" max="13850" width="4.7109375" style="3" customWidth="1"/>
    <col min="13851" max="13858" width="3.28515625" style="3" customWidth="1"/>
    <col min="13859" max="13859" width="4.140625" style="3" customWidth="1"/>
    <col min="13860" max="13892" width="3.28515625" style="3" customWidth="1"/>
    <col min="13893" max="13893" width="39.7109375" style="3" customWidth="1"/>
    <col min="13894" max="14095" width="8.7109375" style="3"/>
    <col min="14096" max="14096" width="20" style="3" customWidth="1"/>
    <col min="14097" max="14097" width="42.5703125" style="3" customWidth="1"/>
    <col min="14098" max="14105" width="3.28515625" style="3" customWidth="1"/>
    <col min="14106" max="14106" width="4.7109375" style="3" customWidth="1"/>
    <col min="14107" max="14114" width="3.28515625" style="3" customWidth="1"/>
    <col min="14115" max="14115" width="4.140625" style="3" customWidth="1"/>
    <col min="14116" max="14148" width="3.28515625" style="3" customWidth="1"/>
    <col min="14149" max="14149" width="39.7109375" style="3" customWidth="1"/>
    <col min="14150" max="14351" width="8.7109375" style="3"/>
    <col min="14352" max="14352" width="20" style="3" customWidth="1"/>
    <col min="14353" max="14353" width="42.5703125" style="3" customWidth="1"/>
    <col min="14354" max="14361" width="3.28515625" style="3" customWidth="1"/>
    <col min="14362" max="14362" width="4.7109375" style="3" customWidth="1"/>
    <col min="14363" max="14370" width="3.28515625" style="3" customWidth="1"/>
    <col min="14371" max="14371" width="4.140625" style="3" customWidth="1"/>
    <col min="14372" max="14404" width="3.28515625" style="3" customWidth="1"/>
    <col min="14405" max="14405" width="39.7109375" style="3" customWidth="1"/>
    <col min="14406" max="14607" width="8.7109375" style="3"/>
    <col min="14608" max="14608" width="20" style="3" customWidth="1"/>
    <col min="14609" max="14609" width="42.5703125" style="3" customWidth="1"/>
    <col min="14610" max="14617" width="3.28515625" style="3" customWidth="1"/>
    <col min="14618" max="14618" width="4.7109375" style="3" customWidth="1"/>
    <col min="14619" max="14626" width="3.28515625" style="3" customWidth="1"/>
    <col min="14627" max="14627" width="4.140625" style="3" customWidth="1"/>
    <col min="14628" max="14660" width="3.28515625" style="3" customWidth="1"/>
    <col min="14661" max="14661" width="39.7109375" style="3" customWidth="1"/>
    <col min="14662" max="14863" width="8.7109375" style="3"/>
    <col min="14864" max="14864" width="20" style="3" customWidth="1"/>
    <col min="14865" max="14865" width="42.5703125" style="3" customWidth="1"/>
    <col min="14866" max="14873" width="3.28515625" style="3" customWidth="1"/>
    <col min="14874" max="14874" width="4.7109375" style="3" customWidth="1"/>
    <col min="14875" max="14882" width="3.28515625" style="3" customWidth="1"/>
    <col min="14883" max="14883" width="4.140625" style="3" customWidth="1"/>
    <col min="14884" max="14916" width="3.28515625" style="3" customWidth="1"/>
    <col min="14917" max="14917" width="39.7109375" style="3" customWidth="1"/>
    <col min="14918" max="15119" width="8.7109375" style="3"/>
    <col min="15120" max="15120" width="20" style="3" customWidth="1"/>
    <col min="15121" max="15121" width="42.5703125" style="3" customWidth="1"/>
    <col min="15122" max="15129" width="3.28515625" style="3" customWidth="1"/>
    <col min="15130" max="15130" width="4.7109375" style="3" customWidth="1"/>
    <col min="15131" max="15138" width="3.28515625" style="3" customWidth="1"/>
    <col min="15139" max="15139" width="4.140625" style="3" customWidth="1"/>
    <col min="15140" max="15172" width="3.28515625" style="3" customWidth="1"/>
    <col min="15173" max="15173" width="39.7109375" style="3" customWidth="1"/>
    <col min="15174" max="15375" width="8.7109375" style="3"/>
    <col min="15376" max="15376" width="20" style="3" customWidth="1"/>
    <col min="15377" max="15377" width="42.5703125" style="3" customWidth="1"/>
    <col min="15378" max="15385" width="3.28515625" style="3" customWidth="1"/>
    <col min="15386" max="15386" width="4.7109375" style="3" customWidth="1"/>
    <col min="15387" max="15394" width="3.28515625" style="3" customWidth="1"/>
    <col min="15395" max="15395" width="4.140625" style="3" customWidth="1"/>
    <col min="15396" max="15428" width="3.28515625" style="3" customWidth="1"/>
    <col min="15429" max="15429" width="39.7109375" style="3" customWidth="1"/>
    <col min="15430" max="15631" width="8.7109375" style="3"/>
    <col min="15632" max="15632" width="20" style="3" customWidth="1"/>
    <col min="15633" max="15633" width="42.5703125" style="3" customWidth="1"/>
    <col min="15634" max="15641" width="3.28515625" style="3" customWidth="1"/>
    <col min="15642" max="15642" width="4.7109375" style="3" customWidth="1"/>
    <col min="15643" max="15650" width="3.28515625" style="3" customWidth="1"/>
    <col min="15651" max="15651" width="4.140625" style="3" customWidth="1"/>
    <col min="15652" max="15684" width="3.28515625" style="3" customWidth="1"/>
    <col min="15685" max="15685" width="39.7109375" style="3" customWidth="1"/>
    <col min="15686" max="15887" width="8.7109375" style="3"/>
    <col min="15888" max="15888" width="20" style="3" customWidth="1"/>
    <col min="15889" max="15889" width="42.5703125" style="3" customWidth="1"/>
    <col min="15890" max="15897" width="3.28515625" style="3" customWidth="1"/>
    <col min="15898" max="15898" width="4.7109375" style="3" customWidth="1"/>
    <col min="15899" max="15906" width="3.28515625" style="3" customWidth="1"/>
    <col min="15907" max="15907" width="4.140625" style="3" customWidth="1"/>
    <col min="15908" max="15940" width="3.28515625" style="3" customWidth="1"/>
    <col min="15941" max="15941" width="39.7109375" style="3" customWidth="1"/>
    <col min="15942" max="16143" width="8.7109375" style="3"/>
    <col min="16144" max="16144" width="20" style="3" customWidth="1"/>
    <col min="16145" max="16145" width="42.5703125" style="3" customWidth="1"/>
    <col min="16146" max="16153" width="3.28515625" style="3" customWidth="1"/>
    <col min="16154" max="16154" width="4.7109375" style="3" customWidth="1"/>
    <col min="16155" max="16162" width="3.28515625" style="3" customWidth="1"/>
    <col min="16163" max="16163" width="4.140625" style="3" customWidth="1"/>
    <col min="16164" max="16196" width="3.28515625" style="3" customWidth="1"/>
    <col min="16197" max="16197" width="39.7109375" style="3" customWidth="1"/>
    <col min="16198" max="16384" width="8.7109375" style="3"/>
  </cols>
  <sheetData>
    <row r="1" spans="1:80" ht="22.9" customHeight="1" thickBo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  <c r="N1" s="18"/>
      <c r="O1" s="18"/>
      <c r="P1" s="18"/>
      <c r="Q1" s="18"/>
      <c r="R1" s="8" t="s">
        <v>30</v>
      </c>
      <c r="S1" s="8"/>
      <c r="T1" s="8"/>
      <c r="U1" s="17"/>
      <c r="V1" s="8"/>
      <c r="W1" s="8"/>
      <c r="X1" s="8"/>
      <c r="Y1" s="8"/>
      <c r="Z1" s="8"/>
      <c r="AA1" s="8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34" t="s">
        <v>198</v>
      </c>
      <c r="BH1" s="34"/>
    </row>
    <row r="2" spans="1:80" ht="27" customHeight="1" thickBo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  <c r="N2" s="18"/>
      <c r="O2" s="18"/>
      <c r="P2" s="18"/>
      <c r="Q2" s="18"/>
      <c r="R2" s="21"/>
      <c r="S2" s="22"/>
      <c r="T2" s="22"/>
      <c r="U2" s="23"/>
      <c r="V2" s="22"/>
      <c r="W2" s="22"/>
      <c r="X2" s="22"/>
      <c r="Y2" s="22"/>
      <c r="Z2" s="22"/>
      <c r="AA2" s="22"/>
      <c r="AB2" s="24"/>
      <c r="AC2" s="8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</row>
    <row r="3" spans="1:80" ht="21" thickBot="1">
      <c r="A3" s="17"/>
      <c r="B3" s="17"/>
      <c r="C3" s="17"/>
      <c r="D3" s="8"/>
      <c r="E3" s="8"/>
      <c r="F3" s="8"/>
      <c r="G3" s="8"/>
      <c r="H3" s="8"/>
      <c r="I3" s="8"/>
      <c r="J3" s="8"/>
      <c r="K3" s="8"/>
      <c r="L3" s="8"/>
      <c r="M3" s="19"/>
      <c r="N3" s="19"/>
      <c r="O3" s="19"/>
      <c r="P3" s="19"/>
      <c r="Q3" s="19"/>
      <c r="R3" s="8" t="s">
        <v>33</v>
      </c>
      <c r="S3" s="8"/>
      <c r="T3" s="8"/>
      <c r="U3" s="17"/>
      <c r="V3" s="8"/>
      <c r="W3" s="8"/>
      <c r="X3" s="8"/>
      <c r="Y3" s="8"/>
      <c r="Z3" s="8"/>
      <c r="AA3" s="8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O3" s="17"/>
      <c r="AP3" s="8" t="s">
        <v>34</v>
      </c>
      <c r="AQ3" s="17"/>
      <c r="AR3" s="17"/>
      <c r="AS3" s="17"/>
      <c r="AT3" s="17"/>
      <c r="AU3" s="17"/>
      <c r="AV3" s="17" t="s">
        <v>35</v>
      </c>
      <c r="AW3" s="20" t="s">
        <v>39</v>
      </c>
      <c r="AX3" s="17"/>
      <c r="AY3" s="17" t="s">
        <v>36</v>
      </c>
      <c r="AZ3" s="17"/>
      <c r="BA3" s="17"/>
      <c r="BB3" s="17"/>
      <c r="BC3" s="17"/>
      <c r="BD3" s="17"/>
      <c r="BE3" s="17"/>
      <c r="BF3" s="17"/>
      <c r="BG3" s="17"/>
      <c r="BH3" s="17"/>
      <c r="BI3" s="1"/>
      <c r="BJ3" s="1"/>
      <c r="BK3" s="1"/>
      <c r="BN3" s="6"/>
    </row>
    <row r="4" spans="1:80" ht="27" customHeight="1" thickBot="1">
      <c r="A4" s="17"/>
      <c r="B4" s="17"/>
      <c r="C4" s="17"/>
      <c r="D4" s="8"/>
      <c r="E4" s="8"/>
      <c r="F4" s="8"/>
      <c r="G4" s="8"/>
      <c r="H4" s="8"/>
      <c r="I4" s="8"/>
      <c r="J4" s="8"/>
      <c r="K4" s="8"/>
      <c r="L4" s="8"/>
      <c r="M4" s="19"/>
      <c r="N4" s="19"/>
      <c r="O4" s="19"/>
      <c r="P4" s="19"/>
      <c r="Q4" s="19"/>
      <c r="R4" s="21"/>
      <c r="S4" s="22"/>
      <c r="T4" s="22"/>
      <c r="U4" s="22"/>
      <c r="V4" s="22"/>
      <c r="W4" s="22"/>
      <c r="X4" s="22"/>
      <c r="Y4" s="22"/>
      <c r="Z4" s="22"/>
      <c r="AA4" s="22"/>
      <c r="AB4" s="24"/>
      <c r="AC4" s="8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 t="s">
        <v>38</v>
      </c>
      <c r="AW4" s="20"/>
      <c r="AX4" s="17"/>
      <c r="AY4" s="21"/>
      <c r="AZ4" s="23"/>
      <c r="BA4" s="23"/>
      <c r="BB4" s="23"/>
      <c r="BC4" s="23"/>
      <c r="BD4" s="23"/>
      <c r="BE4" s="23"/>
      <c r="BF4" s="23"/>
      <c r="BG4" s="23"/>
      <c r="BH4" s="25"/>
      <c r="BI4" s="1"/>
      <c r="BJ4" s="1"/>
      <c r="BK4" s="1"/>
    </row>
    <row r="5" spans="1:80" ht="21.6" customHeight="1" thickBot="1">
      <c r="A5" s="17"/>
      <c r="B5" s="17"/>
      <c r="C5" s="17"/>
      <c r="D5" s="8"/>
      <c r="E5" s="8"/>
      <c r="F5" s="8"/>
      <c r="G5" s="8"/>
      <c r="H5" s="8"/>
      <c r="I5" s="8"/>
      <c r="J5" s="8"/>
      <c r="K5" s="8"/>
      <c r="L5" s="8"/>
      <c r="M5" s="19"/>
      <c r="N5" s="19"/>
      <c r="O5" s="19"/>
      <c r="P5" s="19"/>
      <c r="Q5" s="18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8"/>
      <c r="AG5" s="8"/>
      <c r="AH5" s="8"/>
      <c r="AI5" s="8"/>
      <c r="AJ5" s="8"/>
      <c r="AK5" s="8"/>
      <c r="AL5" s="8"/>
      <c r="AM5" s="8"/>
      <c r="AN5" s="17"/>
      <c r="AO5" s="17"/>
      <c r="AP5" s="17"/>
      <c r="AQ5" s="17"/>
      <c r="AS5" s="8" t="s">
        <v>40</v>
      </c>
      <c r="AT5" s="17"/>
      <c r="AU5" s="17"/>
      <c r="AV5" s="17" t="s">
        <v>35</v>
      </c>
      <c r="AW5" s="20"/>
      <c r="AX5" s="17"/>
      <c r="AY5" s="8" t="s">
        <v>41</v>
      </c>
      <c r="AZ5" s="17"/>
      <c r="BA5" s="17"/>
      <c r="BB5" s="17"/>
      <c r="BC5" s="17"/>
      <c r="BD5" s="17"/>
      <c r="BE5" s="17"/>
      <c r="BF5" s="17"/>
      <c r="BG5" s="17"/>
      <c r="BH5" s="17"/>
      <c r="BI5" s="1"/>
      <c r="BJ5" s="1"/>
      <c r="BK5" s="1"/>
      <c r="BN5" s="4"/>
    </row>
    <row r="6" spans="1:80" ht="27" customHeight="1" thickBot="1">
      <c r="A6" s="17"/>
      <c r="B6" s="17"/>
      <c r="C6" s="253" t="s">
        <v>42</v>
      </c>
      <c r="D6" s="254"/>
      <c r="E6" s="254"/>
      <c r="F6" s="255"/>
      <c r="G6" s="26" t="str">
        <f>'Controller A(2)'!G6</f>
        <v>Amazon</v>
      </c>
      <c r="H6" s="23"/>
      <c r="I6" s="23"/>
      <c r="J6" s="23"/>
      <c r="K6" s="23"/>
      <c r="L6" s="23"/>
      <c r="M6" s="23"/>
      <c r="N6" s="23"/>
      <c r="O6" s="23"/>
      <c r="P6" s="23"/>
      <c r="Q6" s="25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 t="s">
        <v>38</v>
      </c>
      <c r="AW6" s="20"/>
      <c r="AX6" s="17"/>
      <c r="AY6" s="21"/>
      <c r="AZ6" s="22"/>
      <c r="BA6" s="22"/>
      <c r="BB6" s="22"/>
      <c r="BC6" s="22"/>
      <c r="BD6" s="22"/>
      <c r="BE6" s="22"/>
      <c r="BF6" s="22"/>
      <c r="BG6" s="22"/>
      <c r="BH6" s="24"/>
      <c r="BI6" s="1"/>
      <c r="BJ6" s="1"/>
      <c r="BK6" s="1"/>
      <c r="BL6" s="1"/>
      <c r="BN6" s="4"/>
    </row>
    <row r="7" spans="1:80" ht="28.9" customHeight="1" thickBot="1">
      <c r="A7" s="17"/>
      <c r="B7" s="17"/>
      <c r="C7" s="253" t="s">
        <v>44</v>
      </c>
      <c r="D7" s="254"/>
      <c r="E7" s="254"/>
      <c r="F7" s="255"/>
      <c r="G7" s="26" t="str">
        <f>'Controller A(2)'!G7</f>
        <v>2956 Main Street</v>
      </c>
      <c r="H7" s="23"/>
      <c r="I7" s="23"/>
      <c r="J7" s="23"/>
      <c r="K7" s="23"/>
      <c r="L7" s="23"/>
      <c r="M7" s="23"/>
      <c r="N7" s="23"/>
      <c r="O7" s="23"/>
      <c r="P7" s="23"/>
      <c r="Q7" s="25"/>
      <c r="R7" s="8" t="s">
        <v>46</v>
      </c>
      <c r="S7" s="8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256" t="s">
        <v>47</v>
      </c>
      <c r="AQ7" s="257"/>
      <c r="AR7" s="257"/>
      <c r="AS7" s="257"/>
      <c r="AT7" s="258"/>
      <c r="AU7" s="8"/>
      <c r="AV7" s="8"/>
      <c r="AW7" s="17"/>
      <c r="AX7" s="17"/>
      <c r="AY7" s="17"/>
      <c r="AZ7" s="17"/>
      <c r="BA7" s="27"/>
      <c r="BB7" s="27"/>
      <c r="BC7" s="17"/>
      <c r="BD7" s="27"/>
      <c r="BE7" s="27"/>
      <c r="BF7" s="27"/>
      <c r="BG7" s="27"/>
      <c r="BH7" s="27"/>
      <c r="BI7" s="1"/>
      <c r="BJ7" s="1"/>
      <c r="BK7" s="1"/>
      <c r="BL7" s="1"/>
    </row>
    <row r="8" spans="1:80" ht="27" customHeight="1" thickBot="1">
      <c r="A8" s="17"/>
      <c r="B8" s="17"/>
      <c r="C8" s="262" t="s">
        <v>48</v>
      </c>
      <c r="D8" s="263"/>
      <c r="E8" s="263"/>
      <c r="F8" s="264"/>
      <c r="G8" s="26" t="str">
        <f>'Controller A(2)'!G8</f>
        <v>Buda, Texas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1" t="s">
        <v>50</v>
      </c>
      <c r="S8" s="22"/>
      <c r="T8" s="22"/>
      <c r="U8" s="22"/>
      <c r="V8" s="240"/>
      <c r="W8" s="23"/>
      <c r="X8" s="23"/>
      <c r="Y8" s="23"/>
      <c r="Z8" s="23"/>
      <c r="AA8" s="23"/>
      <c r="AB8" s="23"/>
      <c r="AC8" s="47" t="s">
        <v>52</v>
      </c>
      <c r="AD8" s="7"/>
      <c r="AE8" s="48"/>
      <c r="AF8" s="48"/>
      <c r="AG8" s="48"/>
      <c r="AH8" s="48"/>
      <c r="AI8" s="48"/>
      <c r="AJ8" s="48"/>
      <c r="AK8" s="48"/>
      <c r="AL8" s="48"/>
      <c r="AM8" s="32"/>
      <c r="AN8" s="17"/>
      <c r="AO8" s="17"/>
      <c r="AP8" s="259"/>
      <c r="AQ8" s="260"/>
      <c r="AR8" s="260"/>
      <c r="AS8" s="260"/>
      <c r="AT8" s="261"/>
      <c r="AU8" s="23" t="s">
        <v>54</v>
      </c>
      <c r="AV8" s="24"/>
      <c r="AW8" s="30" t="s">
        <v>33</v>
      </c>
      <c r="AX8" s="31"/>
      <c r="AY8" s="32"/>
      <c r="AZ8" s="27"/>
      <c r="BA8" s="27"/>
      <c r="BB8" s="27"/>
      <c r="BC8" s="27"/>
      <c r="BD8" s="27"/>
      <c r="BE8" s="27"/>
      <c r="BF8" s="27"/>
      <c r="BG8" s="27"/>
      <c r="BH8" s="27"/>
      <c r="BI8" s="1"/>
      <c r="BJ8" s="1"/>
      <c r="BK8" s="1"/>
      <c r="BM8" s="1"/>
      <c r="BX8" s="1"/>
    </row>
    <row r="9" spans="1:80" ht="27" customHeight="1" thickBot="1">
      <c r="A9" s="17"/>
      <c r="B9" s="17"/>
      <c r="C9" s="253" t="s">
        <v>4</v>
      </c>
      <c r="D9" s="254"/>
      <c r="E9" s="254"/>
      <c r="F9" s="255"/>
      <c r="G9" s="26"/>
      <c r="H9" s="23"/>
      <c r="I9" s="23"/>
      <c r="J9" s="23"/>
      <c r="K9" s="23"/>
      <c r="L9" s="23"/>
      <c r="M9" s="23"/>
      <c r="N9" s="23"/>
      <c r="O9" s="23"/>
      <c r="P9" s="23"/>
      <c r="Q9" s="23"/>
      <c r="R9" s="21" t="s">
        <v>50</v>
      </c>
      <c r="S9" s="22"/>
      <c r="T9" s="22"/>
      <c r="U9" s="22"/>
      <c r="V9" s="22"/>
      <c r="W9" s="23"/>
      <c r="X9" s="23"/>
      <c r="Y9" s="23"/>
      <c r="Z9" s="23"/>
      <c r="AA9" s="23"/>
      <c r="AB9" s="23"/>
      <c r="AC9" s="21" t="s">
        <v>52</v>
      </c>
      <c r="AD9" s="44"/>
      <c r="AE9" s="23"/>
      <c r="AF9" s="22"/>
      <c r="AG9" s="22"/>
      <c r="AH9" s="22"/>
      <c r="AI9" s="23"/>
      <c r="AJ9" s="22"/>
      <c r="AK9" s="22"/>
      <c r="AL9" s="22"/>
      <c r="AM9" s="24"/>
      <c r="AN9" s="17"/>
      <c r="AO9" s="17"/>
      <c r="AP9" s="49">
        <v>1</v>
      </c>
      <c r="AQ9" s="45" t="s">
        <v>56</v>
      </c>
      <c r="AR9" s="50"/>
      <c r="AS9" s="50"/>
      <c r="AT9" s="46"/>
      <c r="AU9" s="21" t="s">
        <v>57</v>
      </c>
      <c r="AV9" s="22"/>
      <c r="AW9" s="26" t="s">
        <v>199</v>
      </c>
      <c r="AX9" s="23"/>
      <c r="AY9" s="22"/>
      <c r="AZ9" s="23"/>
      <c r="BA9" s="23"/>
      <c r="BB9" s="23"/>
      <c r="BC9" s="23"/>
      <c r="BD9" s="23"/>
      <c r="BE9" s="23"/>
      <c r="BF9" s="23"/>
      <c r="BG9" s="23"/>
      <c r="BH9" s="25"/>
      <c r="BI9" s="1"/>
      <c r="BJ9" s="1"/>
      <c r="BK9" s="1"/>
      <c r="BL9" s="1"/>
      <c r="BM9" s="1"/>
    </row>
    <row r="10" spans="1:80" ht="27" customHeight="1" thickBot="1">
      <c r="A10" s="17"/>
      <c r="B10" s="17"/>
      <c r="C10" s="253" t="s">
        <v>2</v>
      </c>
      <c r="D10" s="254"/>
      <c r="E10" s="254"/>
      <c r="F10" s="255"/>
      <c r="G10" s="221" t="s">
        <v>152</v>
      </c>
      <c r="H10" s="67"/>
      <c r="I10" s="67"/>
      <c r="J10" s="67"/>
      <c r="K10" s="23"/>
      <c r="L10" s="23"/>
      <c r="M10" s="23"/>
      <c r="N10" s="23"/>
      <c r="O10" s="23"/>
      <c r="P10" s="23"/>
      <c r="Q10" s="25"/>
      <c r="R10" s="17"/>
      <c r="S10" s="17"/>
      <c r="T10" s="8"/>
      <c r="U10" s="8"/>
      <c r="V10" s="8"/>
      <c r="W10" s="17"/>
      <c r="X10" s="17"/>
      <c r="Y10" s="17"/>
      <c r="Z10" s="17"/>
      <c r="AA10" s="17"/>
      <c r="AB10" s="17"/>
      <c r="AC10" s="17"/>
      <c r="AE10" s="8"/>
      <c r="AF10" s="8"/>
      <c r="AG10" s="8"/>
      <c r="AH10" s="8"/>
      <c r="AI10" s="17"/>
      <c r="AJ10" s="8"/>
      <c r="AK10" s="8"/>
      <c r="AL10" s="8"/>
      <c r="AM10" s="8"/>
      <c r="AN10" s="17"/>
      <c r="AO10" s="17"/>
      <c r="AP10" s="33">
        <v>2</v>
      </c>
      <c r="AQ10" s="21" t="s">
        <v>56</v>
      </c>
      <c r="AR10" s="22"/>
      <c r="AS10" s="22"/>
      <c r="AT10" s="25"/>
      <c r="AU10" s="21" t="s">
        <v>57</v>
      </c>
      <c r="AV10" s="22"/>
      <c r="AW10" s="26" t="s">
        <v>199</v>
      </c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5"/>
      <c r="BI10" s="1"/>
      <c r="BJ10" s="1"/>
      <c r="BK10" s="1"/>
      <c r="BL10" s="1"/>
      <c r="BM10" s="1"/>
      <c r="BX10" s="1"/>
    </row>
    <row r="11" spans="1:80" ht="26.65" customHeight="1" thickBot="1">
      <c r="A11" s="17"/>
      <c r="B11" s="17"/>
      <c r="C11" s="253" t="s">
        <v>60</v>
      </c>
      <c r="D11" s="254"/>
      <c r="E11" s="254"/>
      <c r="F11" s="255"/>
      <c r="G11" s="26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1" t="s">
        <v>62</v>
      </c>
      <c r="S11" s="22"/>
      <c r="T11" s="22"/>
      <c r="U11" s="22"/>
      <c r="V11" s="22"/>
      <c r="W11" s="22"/>
      <c r="X11" s="22"/>
      <c r="Y11" s="23"/>
      <c r="Z11" s="22"/>
      <c r="AA11" s="22"/>
      <c r="AB11" s="25"/>
      <c r="AC11" s="21" t="s">
        <v>64</v>
      </c>
      <c r="AD11" s="44"/>
      <c r="AE11" s="22"/>
      <c r="AF11" s="22"/>
      <c r="AG11" s="22"/>
      <c r="AH11" s="22"/>
      <c r="AI11" s="23"/>
      <c r="AJ11" s="22"/>
      <c r="AK11" s="22"/>
      <c r="AL11" s="22"/>
      <c r="AM11" s="24"/>
      <c r="AN11" s="17"/>
      <c r="AO11" s="17"/>
      <c r="AP11" s="33">
        <v>3</v>
      </c>
      <c r="AQ11" s="21"/>
      <c r="AR11" s="22"/>
      <c r="AS11" s="22"/>
      <c r="AT11" s="25"/>
      <c r="AU11" s="21"/>
      <c r="AV11" s="22"/>
      <c r="AW11" s="26"/>
      <c r="AX11" s="23"/>
      <c r="AY11" s="23"/>
      <c r="AZ11" s="22"/>
      <c r="BA11" s="23"/>
      <c r="BB11" s="23"/>
      <c r="BC11" s="23"/>
      <c r="BD11" s="23"/>
      <c r="BE11" s="23"/>
      <c r="BF11" s="23"/>
      <c r="BG11" s="23"/>
      <c r="BH11" s="25"/>
      <c r="BI11" s="1"/>
      <c r="BJ11" s="1"/>
      <c r="BK11" s="1"/>
      <c r="BL11" s="1"/>
      <c r="BM11" s="1"/>
      <c r="BN11" s="1"/>
    </row>
    <row r="12" spans="1:80" ht="27" customHeight="1" thickBot="1">
      <c r="A12" s="8"/>
      <c r="B12" s="17"/>
      <c r="C12" s="253" t="s">
        <v>65</v>
      </c>
      <c r="D12" s="254"/>
      <c r="E12" s="254"/>
      <c r="F12" s="255"/>
      <c r="G12" s="21" t="str">
        <f>'Controller A(2)'!G12</f>
        <v>Wizard Herrera/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1" t="s">
        <v>62</v>
      </c>
      <c r="S12" s="22"/>
      <c r="T12" s="22"/>
      <c r="U12" s="22"/>
      <c r="V12" s="22"/>
      <c r="W12" s="22"/>
      <c r="X12" s="22"/>
      <c r="Y12" s="23"/>
      <c r="Z12" s="22"/>
      <c r="AA12" s="22"/>
      <c r="AB12" s="25"/>
      <c r="AC12" s="21" t="s">
        <v>64</v>
      </c>
      <c r="AD12" s="44"/>
      <c r="AE12" s="22"/>
      <c r="AF12" s="22"/>
      <c r="AG12" s="22"/>
      <c r="AH12" s="22"/>
      <c r="AI12" s="23"/>
      <c r="AJ12" s="22"/>
      <c r="AK12" s="22"/>
      <c r="AL12" s="22"/>
      <c r="AM12" s="24"/>
      <c r="AN12" s="17"/>
      <c r="AO12" s="17"/>
      <c r="AP12" s="33">
        <v>4</v>
      </c>
      <c r="AQ12" s="21"/>
      <c r="AR12" s="22"/>
      <c r="AS12" s="22"/>
      <c r="AT12" s="25"/>
      <c r="AU12" s="21"/>
      <c r="AV12" s="22"/>
      <c r="AW12" s="26"/>
      <c r="AX12" s="23"/>
      <c r="AY12" s="23"/>
      <c r="AZ12" s="22"/>
      <c r="BA12" s="22"/>
      <c r="BB12" s="22"/>
      <c r="BC12" s="22"/>
      <c r="BD12" s="22"/>
      <c r="BE12" s="22"/>
      <c r="BF12" s="22"/>
      <c r="BG12" s="22"/>
      <c r="BH12" s="24"/>
      <c r="BI12" s="1"/>
      <c r="BJ12" s="1"/>
      <c r="BK12" s="1"/>
      <c r="BL12" s="1"/>
      <c r="BM12" s="1"/>
      <c r="BN12" s="1"/>
    </row>
    <row r="13" spans="1:80" ht="22.9" customHeight="1">
      <c r="A13" s="238"/>
      <c r="B13" s="91"/>
      <c r="C13" s="51"/>
      <c r="D13" s="31"/>
      <c r="E13" s="31"/>
      <c r="F13" s="31"/>
      <c r="G13" s="31"/>
      <c r="H13" s="31"/>
      <c r="I13" s="52"/>
      <c r="J13" s="47"/>
      <c r="K13" s="31"/>
      <c r="L13" s="52"/>
      <c r="M13" s="51"/>
      <c r="N13" s="53"/>
      <c r="O13" s="53"/>
      <c r="P13" s="53"/>
      <c r="Q13" s="54"/>
      <c r="R13" s="55" t="s">
        <v>68</v>
      </c>
      <c r="S13" s="56"/>
      <c r="T13" s="31"/>
      <c r="U13" s="31"/>
      <c r="V13" s="31"/>
      <c r="W13" s="48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55" t="s">
        <v>69</v>
      </c>
      <c r="AS13" s="56"/>
      <c r="AT13" s="31"/>
      <c r="AU13" s="31"/>
      <c r="AV13" s="31"/>
      <c r="AW13" s="31"/>
      <c r="AX13" s="31"/>
      <c r="AY13" s="31"/>
      <c r="AZ13" s="56"/>
      <c r="BA13" s="48"/>
      <c r="BB13" s="31"/>
      <c r="BC13" s="31"/>
      <c r="BD13" s="31"/>
      <c r="BE13" s="31"/>
      <c r="BF13" s="31"/>
      <c r="BG13" s="52"/>
      <c r="BH13" s="32"/>
      <c r="BI13" s="1"/>
      <c r="BJ13" s="1"/>
      <c r="BK13" s="1"/>
      <c r="BL13" s="1"/>
      <c r="BN13" s="1"/>
      <c r="BO13" s="1"/>
      <c r="BP13" s="1"/>
      <c r="BQ13" s="1"/>
      <c r="BR13" s="1"/>
      <c r="BS13" s="1"/>
    </row>
    <row r="14" spans="1:80" ht="179.65" customHeight="1" thickBot="1">
      <c r="A14" s="239" t="s">
        <v>70</v>
      </c>
      <c r="B14" s="92" t="s">
        <v>71</v>
      </c>
      <c r="C14" s="57" t="s">
        <v>72</v>
      </c>
      <c r="D14" s="58" t="s">
        <v>73</v>
      </c>
      <c r="E14" s="58" t="s">
        <v>74</v>
      </c>
      <c r="F14" s="58" t="s">
        <v>75</v>
      </c>
      <c r="G14" s="58" t="s">
        <v>76</v>
      </c>
      <c r="H14" s="58" t="s">
        <v>77</v>
      </c>
      <c r="I14" s="59" t="s">
        <v>78</v>
      </c>
      <c r="J14" s="57" t="s">
        <v>79</v>
      </c>
      <c r="K14" s="58" t="s">
        <v>80</v>
      </c>
      <c r="L14" s="59" t="s">
        <v>81</v>
      </c>
      <c r="M14" s="57" t="s">
        <v>82</v>
      </c>
      <c r="N14" s="58" t="s">
        <v>83</v>
      </c>
      <c r="O14" s="58" t="s">
        <v>84</v>
      </c>
      <c r="P14" s="58" t="s">
        <v>85</v>
      </c>
      <c r="Q14" s="59" t="s">
        <v>86</v>
      </c>
      <c r="R14" s="57" t="s">
        <v>87</v>
      </c>
      <c r="S14" s="58" t="s">
        <v>88</v>
      </c>
      <c r="T14" s="58" t="s">
        <v>89</v>
      </c>
      <c r="U14" s="58" t="s">
        <v>90</v>
      </c>
      <c r="V14" s="58" t="s">
        <v>91</v>
      </c>
      <c r="W14" s="58" t="s">
        <v>92</v>
      </c>
      <c r="X14" s="58" t="s">
        <v>93</v>
      </c>
      <c r="Y14" s="58" t="s">
        <v>94</v>
      </c>
      <c r="Z14" s="58" t="s">
        <v>95</v>
      </c>
      <c r="AA14" s="58" t="s">
        <v>96</v>
      </c>
      <c r="AB14" s="58" t="s">
        <v>97</v>
      </c>
      <c r="AC14" s="58" t="s">
        <v>98</v>
      </c>
      <c r="AD14" s="58" t="s">
        <v>99</v>
      </c>
      <c r="AE14" s="58" t="s">
        <v>100</v>
      </c>
      <c r="AF14" s="58" t="s">
        <v>101</v>
      </c>
      <c r="AG14" s="58" t="s">
        <v>102</v>
      </c>
      <c r="AH14" s="58" t="s">
        <v>103</v>
      </c>
      <c r="AI14" s="58" t="s">
        <v>104</v>
      </c>
      <c r="AJ14" s="58" t="s">
        <v>105</v>
      </c>
      <c r="AK14" s="58" t="s">
        <v>106</v>
      </c>
      <c r="AL14" s="58" t="s">
        <v>107</v>
      </c>
      <c r="AM14" s="58" t="s">
        <v>108</v>
      </c>
      <c r="AN14" s="58" t="s">
        <v>109</v>
      </c>
      <c r="AO14" s="58" t="s">
        <v>110</v>
      </c>
      <c r="AP14" s="58" t="s">
        <v>111</v>
      </c>
      <c r="AQ14" s="58" t="s">
        <v>200</v>
      </c>
      <c r="AR14" s="57" t="s">
        <v>87</v>
      </c>
      <c r="AS14" s="58" t="s">
        <v>88</v>
      </c>
      <c r="AT14" s="58" t="s">
        <v>89</v>
      </c>
      <c r="AU14" s="58" t="s">
        <v>90</v>
      </c>
      <c r="AV14" s="58" t="s">
        <v>91</v>
      </c>
      <c r="AW14" s="58" t="s">
        <v>92</v>
      </c>
      <c r="AX14" s="58" t="s">
        <v>93</v>
      </c>
      <c r="AY14" s="58" t="s">
        <v>113</v>
      </c>
      <c r="AZ14" s="58" t="s">
        <v>94</v>
      </c>
      <c r="BA14" s="58" t="s">
        <v>95</v>
      </c>
      <c r="BB14" s="58" t="s">
        <v>114</v>
      </c>
      <c r="BC14" s="58" t="s">
        <v>115</v>
      </c>
      <c r="BD14" s="58" t="s">
        <v>116</v>
      </c>
      <c r="BE14" s="58" t="s">
        <v>117</v>
      </c>
      <c r="BF14" s="58" t="s">
        <v>118</v>
      </c>
      <c r="BG14" s="59" t="s">
        <v>119</v>
      </c>
      <c r="BH14" s="66" t="s">
        <v>120</v>
      </c>
      <c r="BI14" s="9"/>
      <c r="BJ14" s="9"/>
      <c r="BK14" s="9"/>
      <c r="BM14" s="9"/>
      <c r="BN14" s="9"/>
      <c r="BO14" s="9"/>
      <c r="BP14" s="9"/>
      <c r="BQ14" s="9"/>
      <c r="BR14" s="9"/>
      <c r="BS14" s="9"/>
      <c r="BT14" s="9"/>
      <c r="CB14" s="5"/>
    </row>
    <row r="15" spans="1:80" ht="29.65" customHeight="1">
      <c r="A15" s="1">
        <v>51</v>
      </c>
      <c r="B15" s="182" t="s">
        <v>201</v>
      </c>
      <c r="C15" s="224"/>
      <c r="D15" s="191"/>
      <c r="E15" s="191" t="s">
        <v>39</v>
      </c>
      <c r="F15" s="191"/>
      <c r="G15" s="191"/>
      <c r="H15" s="191"/>
      <c r="I15" s="223"/>
      <c r="J15" s="224" t="s">
        <v>202</v>
      </c>
      <c r="K15" s="191">
        <v>5</v>
      </c>
      <c r="L15" s="223"/>
      <c r="M15" s="188"/>
      <c r="N15" s="189"/>
      <c r="O15" s="189"/>
      <c r="P15" s="189"/>
      <c r="Q15" s="190"/>
      <c r="R15" s="185"/>
      <c r="S15" s="186"/>
      <c r="T15" s="191"/>
      <c r="U15" s="191"/>
      <c r="V15" s="191" t="s">
        <v>203</v>
      </c>
      <c r="W15" s="186"/>
      <c r="X15" s="192"/>
      <c r="Y15" s="192"/>
      <c r="Z15" s="192"/>
      <c r="AA15" s="192"/>
      <c r="AB15" s="192">
        <v>1</v>
      </c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86"/>
      <c r="AO15" s="186">
        <v>1</v>
      </c>
      <c r="AP15" s="186"/>
      <c r="AQ15" s="187">
        <v>1</v>
      </c>
      <c r="AR15" s="185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7"/>
      <c r="BH15" s="193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</row>
    <row r="16" spans="1:80" ht="29.65" customHeight="1">
      <c r="A16" s="1">
        <v>52</v>
      </c>
      <c r="B16" s="3" t="s">
        <v>204</v>
      </c>
      <c r="C16" s="76"/>
      <c r="D16" s="73" t="s">
        <v>39</v>
      </c>
      <c r="E16" s="73"/>
      <c r="F16" s="73"/>
      <c r="G16" s="73" t="s">
        <v>39</v>
      </c>
      <c r="H16" s="73"/>
      <c r="I16" s="77"/>
      <c r="J16" s="76" t="s">
        <v>205</v>
      </c>
      <c r="K16" s="73">
        <v>5</v>
      </c>
      <c r="L16" s="77"/>
      <c r="M16" s="83"/>
      <c r="N16" s="72"/>
      <c r="O16" s="72"/>
      <c r="P16" s="72"/>
      <c r="Q16" s="84"/>
      <c r="R16" s="88"/>
      <c r="S16" s="71"/>
      <c r="T16" s="73"/>
      <c r="U16" s="73"/>
      <c r="V16" s="73" t="s">
        <v>206</v>
      </c>
      <c r="W16" s="93"/>
      <c r="X16" s="71"/>
      <c r="Y16" s="71"/>
      <c r="Z16" s="71"/>
      <c r="AA16" s="71"/>
      <c r="AB16" s="71"/>
      <c r="AC16" s="71">
        <v>1</v>
      </c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82"/>
      <c r="AO16" s="71"/>
      <c r="AP16" s="71"/>
      <c r="AQ16" s="81"/>
      <c r="AR16" s="88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81"/>
      <c r="BH16" s="89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</row>
    <row r="17" spans="1:71" ht="29.65" customHeight="1">
      <c r="A17" s="1">
        <v>53</v>
      </c>
      <c r="B17" s="182" t="s">
        <v>207</v>
      </c>
      <c r="C17" s="207"/>
      <c r="D17" s="206" t="s">
        <v>39</v>
      </c>
      <c r="E17" s="206"/>
      <c r="F17" s="206"/>
      <c r="G17" s="206" t="s">
        <v>39</v>
      </c>
      <c r="H17" s="206"/>
      <c r="I17" s="208"/>
      <c r="J17" s="207" t="s">
        <v>205</v>
      </c>
      <c r="K17" s="206">
        <v>5</v>
      </c>
      <c r="L17" s="208"/>
      <c r="M17" s="199"/>
      <c r="N17" s="200"/>
      <c r="O17" s="200"/>
      <c r="P17" s="200"/>
      <c r="Q17" s="201"/>
      <c r="R17" s="196">
        <v>1</v>
      </c>
      <c r="S17" s="197"/>
      <c r="T17" s="197"/>
      <c r="U17" s="197">
        <v>1</v>
      </c>
      <c r="V17" s="197" t="s">
        <v>206</v>
      </c>
      <c r="W17" s="202"/>
      <c r="X17" s="197"/>
      <c r="Y17" s="197"/>
      <c r="Z17" s="197"/>
      <c r="AA17" s="197"/>
      <c r="AB17" s="197"/>
      <c r="AC17" s="197"/>
      <c r="AD17" s="197"/>
      <c r="AE17" s="197"/>
      <c r="AF17" s="197"/>
      <c r="AG17" s="197"/>
      <c r="AH17" s="197"/>
      <c r="AI17" s="197"/>
      <c r="AJ17" s="197"/>
      <c r="AK17" s="197"/>
      <c r="AL17" s="197"/>
      <c r="AM17" s="197"/>
      <c r="AN17" s="203"/>
      <c r="AO17" s="197"/>
      <c r="AP17" s="197"/>
      <c r="AQ17" s="198"/>
      <c r="AR17" s="196"/>
      <c r="AS17" s="197"/>
      <c r="AT17" s="197"/>
      <c r="AU17" s="197"/>
      <c r="AV17" s="197"/>
      <c r="AW17" s="197"/>
      <c r="AX17" s="197"/>
      <c r="AY17" s="197"/>
      <c r="AZ17" s="204"/>
      <c r="BA17" s="197"/>
      <c r="BB17" s="197"/>
      <c r="BC17" s="197"/>
      <c r="BD17" s="197"/>
      <c r="BE17" s="197"/>
      <c r="BF17" s="197"/>
      <c r="BG17" s="198"/>
      <c r="BH17" s="205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</row>
    <row r="18" spans="1:71" ht="29.65" customHeight="1">
      <c r="A18" s="1">
        <v>54</v>
      </c>
      <c r="B18" s="3" t="s">
        <v>208</v>
      </c>
      <c r="C18" s="76" t="s">
        <v>39</v>
      </c>
      <c r="D18" s="73"/>
      <c r="E18" s="73"/>
      <c r="F18" s="73"/>
      <c r="G18" s="73" t="s">
        <v>39</v>
      </c>
      <c r="H18" s="73"/>
      <c r="I18" s="77"/>
      <c r="J18" s="76" t="s">
        <v>205</v>
      </c>
      <c r="K18" s="73">
        <v>10</v>
      </c>
      <c r="L18" s="77"/>
      <c r="M18" s="83"/>
      <c r="N18" s="72"/>
      <c r="O18" s="72"/>
      <c r="P18" s="72"/>
      <c r="Q18" s="84"/>
      <c r="R18" s="88"/>
      <c r="S18" s="71"/>
      <c r="T18" s="71"/>
      <c r="U18" s="71"/>
      <c r="V18" s="71"/>
      <c r="W18" s="93"/>
      <c r="X18" s="71"/>
      <c r="Y18" s="71"/>
      <c r="Z18" s="71"/>
      <c r="AA18" s="71"/>
      <c r="AB18" s="71"/>
      <c r="AC18" s="71">
        <v>1</v>
      </c>
      <c r="AD18" s="71"/>
      <c r="AE18" s="71"/>
      <c r="AF18" s="71"/>
      <c r="AG18" s="71"/>
      <c r="AH18" s="71"/>
      <c r="AI18" s="71"/>
      <c r="AJ18" s="71">
        <v>1</v>
      </c>
      <c r="AK18" s="71"/>
      <c r="AL18" s="71"/>
      <c r="AM18" s="71"/>
      <c r="AN18" s="82"/>
      <c r="AO18" s="71"/>
      <c r="AP18" s="71"/>
      <c r="AQ18" s="81"/>
      <c r="AR18" s="88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81"/>
      <c r="BH18" s="89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</row>
    <row r="19" spans="1:71" ht="29.65" customHeight="1">
      <c r="A19" s="1">
        <v>55</v>
      </c>
      <c r="B19" s="182" t="s">
        <v>209</v>
      </c>
      <c r="C19" s="207"/>
      <c r="D19" s="206" t="s">
        <v>39</v>
      </c>
      <c r="E19" s="206"/>
      <c r="F19" s="206"/>
      <c r="G19" s="206" t="s">
        <v>39</v>
      </c>
      <c r="H19" s="206"/>
      <c r="I19" s="208"/>
      <c r="J19" s="207" t="s">
        <v>205</v>
      </c>
      <c r="K19" s="206">
        <v>5</v>
      </c>
      <c r="L19" s="208"/>
      <c r="M19" s="199"/>
      <c r="N19" s="200"/>
      <c r="O19" s="200"/>
      <c r="P19" s="200"/>
      <c r="Q19" s="201"/>
      <c r="R19" s="196"/>
      <c r="S19" s="197" t="s">
        <v>210</v>
      </c>
      <c r="T19" s="197"/>
      <c r="U19" s="197"/>
      <c r="V19" s="197"/>
      <c r="W19" s="202"/>
      <c r="X19" s="206"/>
      <c r="Y19" s="197"/>
      <c r="Z19" s="197"/>
      <c r="AA19" s="197"/>
      <c r="AB19" s="197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97"/>
      <c r="AN19" s="203"/>
      <c r="AO19" s="197"/>
      <c r="AP19" s="197"/>
      <c r="AQ19" s="198"/>
      <c r="AR19" s="196"/>
      <c r="AS19" s="197"/>
      <c r="AT19" s="197"/>
      <c r="AU19" s="197"/>
      <c r="AV19" s="197"/>
      <c r="AW19" s="197"/>
      <c r="AX19" s="197"/>
      <c r="AY19" s="197"/>
      <c r="AZ19" s="197"/>
      <c r="BA19" s="197"/>
      <c r="BB19" s="197"/>
      <c r="BC19" s="197"/>
      <c r="BD19" s="197"/>
      <c r="BE19" s="197"/>
      <c r="BF19" s="197"/>
      <c r="BG19" s="198"/>
      <c r="BH19" s="205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</row>
    <row r="20" spans="1:71" ht="29.65" customHeight="1">
      <c r="A20" s="1">
        <v>56</v>
      </c>
      <c r="B20" s="3" t="s">
        <v>211</v>
      </c>
      <c r="C20" s="76"/>
      <c r="D20" s="73" t="s">
        <v>39</v>
      </c>
      <c r="E20" s="73"/>
      <c r="F20" s="73"/>
      <c r="G20" s="73" t="s">
        <v>39</v>
      </c>
      <c r="H20" s="73"/>
      <c r="I20" s="77"/>
      <c r="J20" s="76" t="s">
        <v>205</v>
      </c>
      <c r="K20" s="73">
        <v>5</v>
      </c>
      <c r="L20" s="77"/>
      <c r="M20" s="83"/>
      <c r="N20" s="72"/>
      <c r="O20" s="72"/>
      <c r="P20" s="72"/>
      <c r="Q20" s="84"/>
      <c r="R20" s="88">
        <v>6</v>
      </c>
      <c r="S20" s="71"/>
      <c r="T20" s="71"/>
      <c r="U20" s="71">
        <v>4</v>
      </c>
      <c r="V20" s="71"/>
      <c r="W20" s="93"/>
      <c r="X20" s="73"/>
      <c r="Y20" s="71"/>
      <c r="Z20" s="71"/>
      <c r="AA20" s="71"/>
      <c r="AB20" s="71"/>
      <c r="AC20" s="71">
        <v>1</v>
      </c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82"/>
      <c r="AO20" s="71"/>
      <c r="AP20" s="71"/>
      <c r="AQ20" s="81">
        <v>1</v>
      </c>
      <c r="AR20" s="88"/>
      <c r="AS20" s="71"/>
      <c r="AT20" s="71"/>
      <c r="AU20" s="71"/>
      <c r="AV20" s="71"/>
      <c r="AW20" s="71"/>
      <c r="AX20" s="71"/>
      <c r="AY20" s="71"/>
      <c r="AZ20" s="74"/>
      <c r="BA20" s="71"/>
      <c r="BB20" s="71"/>
      <c r="BC20" s="71"/>
      <c r="BD20" s="71"/>
      <c r="BE20" s="71"/>
      <c r="BF20" s="71"/>
      <c r="BG20" s="81"/>
      <c r="BH20" s="89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</row>
    <row r="21" spans="1:71" ht="29.65" customHeight="1">
      <c r="A21" s="1">
        <v>57</v>
      </c>
      <c r="B21" s="182" t="s">
        <v>211</v>
      </c>
      <c r="C21" s="207"/>
      <c r="D21" s="206" t="s">
        <v>39</v>
      </c>
      <c r="E21" s="206"/>
      <c r="F21" s="206"/>
      <c r="G21" s="206" t="s">
        <v>39</v>
      </c>
      <c r="H21" s="206"/>
      <c r="I21" s="208"/>
      <c r="J21" s="207" t="s">
        <v>205</v>
      </c>
      <c r="K21" s="206">
        <v>5</v>
      </c>
      <c r="L21" s="208"/>
      <c r="M21" s="199"/>
      <c r="N21" s="200"/>
      <c r="O21" s="200"/>
      <c r="P21" s="200"/>
      <c r="Q21" s="201"/>
      <c r="R21" s="196"/>
      <c r="S21" s="197"/>
      <c r="T21" s="197"/>
      <c r="U21" s="197"/>
      <c r="V21" s="197"/>
      <c r="W21" s="202"/>
      <c r="X21" s="206"/>
      <c r="Y21" s="197"/>
      <c r="Z21" s="197"/>
      <c r="AA21" s="197"/>
      <c r="AB21" s="197"/>
      <c r="AC21" s="197"/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203"/>
      <c r="AO21" s="197"/>
      <c r="AP21" s="197"/>
      <c r="AQ21" s="198">
        <v>1</v>
      </c>
      <c r="AR21" s="196"/>
      <c r="AS21" s="197"/>
      <c r="AT21" s="197"/>
      <c r="AU21" s="197"/>
      <c r="AV21" s="197"/>
      <c r="AW21" s="197"/>
      <c r="AX21" s="197"/>
      <c r="AY21" s="197"/>
      <c r="AZ21" s="197"/>
      <c r="BA21" s="197"/>
      <c r="BB21" s="197"/>
      <c r="BC21" s="197"/>
      <c r="BD21" s="197"/>
      <c r="BE21" s="197"/>
      <c r="BF21" s="197"/>
      <c r="BG21" s="198"/>
      <c r="BH21" s="205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</row>
    <row r="22" spans="1:71" ht="29.65" customHeight="1">
      <c r="A22" s="1">
        <v>58</v>
      </c>
      <c r="B22" s="3" t="s">
        <v>212</v>
      </c>
      <c r="C22" s="76"/>
      <c r="D22" s="73" t="s">
        <v>39</v>
      </c>
      <c r="E22" s="73"/>
      <c r="F22" s="73"/>
      <c r="G22" s="73" t="s">
        <v>39</v>
      </c>
      <c r="H22" s="73"/>
      <c r="I22" s="77"/>
      <c r="J22" s="76" t="s">
        <v>205</v>
      </c>
      <c r="K22" s="73">
        <v>5</v>
      </c>
      <c r="L22" s="77"/>
      <c r="M22" s="83"/>
      <c r="N22" s="72"/>
      <c r="O22" s="72"/>
      <c r="P22" s="72"/>
      <c r="Q22" s="84"/>
      <c r="R22" s="88"/>
      <c r="S22" s="71" t="s">
        <v>210</v>
      </c>
      <c r="T22" s="71"/>
      <c r="U22" s="71"/>
      <c r="V22" s="71"/>
      <c r="W22" s="93" t="s">
        <v>213</v>
      </c>
      <c r="X22" s="73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82"/>
      <c r="AO22" s="71"/>
      <c r="AP22" s="71"/>
      <c r="AQ22" s="81"/>
      <c r="AR22" s="88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81"/>
      <c r="BH22" s="89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</row>
    <row r="23" spans="1:71" ht="29.65" customHeight="1">
      <c r="A23" s="1">
        <v>59</v>
      </c>
      <c r="B23" s="182" t="s">
        <v>214</v>
      </c>
      <c r="C23" s="207" t="s">
        <v>39</v>
      </c>
      <c r="D23" s="206"/>
      <c r="E23" s="206"/>
      <c r="F23" s="206"/>
      <c r="G23" s="206" t="s">
        <v>39</v>
      </c>
      <c r="H23" s="206"/>
      <c r="I23" s="208"/>
      <c r="J23" s="207" t="s">
        <v>205</v>
      </c>
      <c r="K23" s="206">
        <v>10</v>
      </c>
      <c r="L23" s="198"/>
      <c r="M23" s="199"/>
      <c r="N23" s="200"/>
      <c r="O23" s="200"/>
      <c r="P23" s="200"/>
      <c r="Q23" s="201"/>
      <c r="R23" s="196"/>
      <c r="S23" s="197"/>
      <c r="T23" s="197"/>
      <c r="U23" s="197"/>
      <c r="V23" s="197"/>
      <c r="W23" s="202"/>
      <c r="X23" s="206"/>
      <c r="Y23" s="197"/>
      <c r="Z23" s="197">
        <v>5</v>
      </c>
      <c r="AA23" s="197"/>
      <c r="AB23" s="197"/>
      <c r="AC23" s="197"/>
      <c r="AD23" s="197"/>
      <c r="AE23" s="197"/>
      <c r="AF23" s="197"/>
      <c r="AG23" s="197"/>
      <c r="AH23" s="197"/>
      <c r="AI23" s="197"/>
      <c r="AJ23" s="197">
        <v>1</v>
      </c>
      <c r="AK23" s="197"/>
      <c r="AL23" s="197"/>
      <c r="AM23" s="197"/>
      <c r="AN23" s="203"/>
      <c r="AO23" s="197"/>
      <c r="AP23" s="197"/>
      <c r="AQ23" s="198"/>
      <c r="AR23" s="196"/>
      <c r="AS23" s="197"/>
      <c r="AT23" s="197"/>
      <c r="AU23" s="197"/>
      <c r="AV23" s="197"/>
      <c r="AW23" s="197"/>
      <c r="AX23" s="197"/>
      <c r="AY23" s="197"/>
      <c r="AZ23" s="197"/>
      <c r="BA23" s="197"/>
      <c r="BB23" s="197"/>
      <c r="BC23" s="197"/>
      <c r="BD23" s="197"/>
      <c r="BE23" s="197"/>
      <c r="BF23" s="197"/>
      <c r="BG23" s="198"/>
      <c r="BH23" s="205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</row>
    <row r="24" spans="1:71" ht="30" customHeight="1" thickBot="1">
      <c r="A24" s="1">
        <v>60</v>
      </c>
      <c r="B24" s="3" t="s">
        <v>214</v>
      </c>
      <c r="C24" s="227"/>
      <c r="D24" s="228"/>
      <c r="E24" s="228" t="s">
        <v>39</v>
      </c>
      <c r="F24" s="228"/>
      <c r="G24" s="228"/>
      <c r="H24" s="228"/>
      <c r="I24" s="229"/>
      <c r="J24" s="227" t="s">
        <v>202</v>
      </c>
      <c r="K24" s="228">
        <v>5</v>
      </c>
      <c r="L24" s="231"/>
      <c r="M24" s="235"/>
      <c r="N24" s="236"/>
      <c r="O24" s="236"/>
      <c r="P24" s="236"/>
      <c r="Q24" s="237"/>
      <c r="R24" s="88"/>
      <c r="S24" s="71"/>
      <c r="T24" s="71"/>
      <c r="U24" s="71"/>
      <c r="V24" s="71"/>
      <c r="W24" s="93"/>
      <c r="X24" s="73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82"/>
      <c r="AO24" s="71">
        <v>1</v>
      </c>
      <c r="AP24" s="71"/>
      <c r="AQ24" s="81"/>
      <c r="AR24" s="88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81"/>
      <c r="BH24" s="89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</row>
    <row r="25" spans="1:71" ht="29.65" hidden="1" customHeight="1">
      <c r="A25" s="1">
        <v>36</v>
      </c>
      <c r="B25" s="182"/>
      <c r="C25" s="225"/>
      <c r="D25" s="209"/>
      <c r="E25" s="209"/>
      <c r="F25" s="209"/>
      <c r="G25" s="209"/>
      <c r="H25" s="209"/>
      <c r="I25" s="226"/>
      <c r="J25" s="225"/>
      <c r="K25" s="209"/>
      <c r="L25" s="230"/>
      <c r="M25" s="232"/>
      <c r="N25" s="233"/>
      <c r="O25" s="233"/>
      <c r="P25" s="233"/>
      <c r="Q25" s="234"/>
      <c r="R25" s="196"/>
      <c r="S25" s="197"/>
      <c r="T25" s="197"/>
      <c r="U25" s="197"/>
      <c r="V25" s="197"/>
      <c r="W25" s="197"/>
      <c r="X25" s="209"/>
      <c r="Y25" s="210"/>
      <c r="Z25" s="210"/>
      <c r="AA25" s="210"/>
      <c r="AB25" s="210"/>
      <c r="AC25" s="210"/>
      <c r="AD25" s="210"/>
      <c r="AE25" s="210"/>
      <c r="AF25" s="210"/>
      <c r="AG25" s="210"/>
      <c r="AH25" s="210"/>
      <c r="AI25" s="210"/>
      <c r="AJ25" s="210"/>
      <c r="AK25" s="210"/>
      <c r="AL25" s="210"/>
      <c r="AM25" s="210"/>
      <c r="AN25" s="197"/>
      <c r="AO25" s="197"/>
      <c r="AP25" s="197"/>
      <c r="AQ25" s="198"/>
      <c r="AR25" s="196"/>
      <c r="AS25" s="197"/>
      <c r="AT25" s="197"/>
      <c r="AU25" s="197"/>
      <c r="AV25" s="197"/>
      <c r="AW25" s="197"/>
      <c r="AX25" s="197"/>
      <c r="AY25" s="197"/>
      <c r="AZ25" s="197"/>
      <c r="BA25" s="197"/>
      <c r="BB25" s="197"/>
      <c r="BC25" s="197"/>
      <c r="BD25" s="197"/>
      <c r="BE25" s="197"/>
      <c r="BF25" s="197"/>
      <c r="BG25" s="198"/>
      <c r="BH25" s="205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</row>
    <row r="26" spans="1:71" ht="29.65" hidden="1" customHeight="1">
      <c r="A26" s="1">
        <v>37</v>
      </c>
      <c r="C26" s="76"/>
      <c r="D26" s="73"/>
      <c r="E26" s="73"/>
      <c r="F26" s="73"/>
      <c r="G26" s="73"/>
      <c r="H26" s="73"/>
      <c r="I26" s="77"/>
      <c r="J26" s="76"/>
      <c r="K26" s="73"/>
      <c r="L26" s="81"/>
      <c r="M26" s="83"/>
      <c r="N26" s="72"/>
      <c r="O26" s="72"/>
      <c r="P26" s="72"/>
      <c r="Q26" s="84"/>
      <c r="R26" s="88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81"/>
      <c r="AR26" s="88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81"/>
      <c r="BH26" s="89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</row>
    <row r="27" spans="1:71" ht="29.65" hidden="1" customHeight="1">
      <c r="A27" s="1">
        <v>38</v>
      </c>
      <c r="B27" s="182"/>
      <c r="C27" s="207"/>
      <c r="D27" s="206"/>
      <c r="E27" s="206"/>
      <c r="F27" s="206"/>
      <c r="G27" s="206"/>
      <c r="H27" s="206"/>
      <c r="I27" s="208"/>
      <c r="J27" s="207"/>
      <c r="K27" s="206"/>
      <c r="L27" s="208"/>
      <c r="M27" s="199"/>
      <c r="N27" s="200"/>
      <c r="O27" s="200"/>
      <c r="P27" s="200"/>
      <c r="Q27" s="201"/>
      <c r="R27" s="196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8"/>
      <c r="AR27" s="196"/>
      <c r="AS27" s="197"/>
      <c r="AT27" s="197"/>
      <c r="AU27" s="197"/>
      <c r="AV27" s="197"/>
      <c r="AW27" s="197"/>
      <c r="AX27" s="197"/>
      <c r="AY27" s="197"/>
      <c r="AZ27" s="197"/>
      <c r="BA27" s="204"/>
      <c r="BB27" s="197"/>
      <c r="BC27" s="197"/>
      <c r="BD27" s="197"/>
      <c r="BE27" s="197"/>
      <c r="BF27" s="197"/>
      <c r="BG27" s="198"/>
      <c r="BH27" s="205"/>
      <c r="BI27" s="1"/>
      <c r="BJ27" s="1"/>
      <c r="BK27" s="2"/>
      <c r="BL27" s="1"/>
      <c r="BM27" s="2"/>
      <c r="BN27" s="1"/>
      <c r="BO27" s="1"/>
      <c r="BP27" s="1"/>
      <c r="BQ27" s="1"/>
      <c r="BR27" s="1"/>
      <c r="BS27" s="1"/>
    </row>
    <row r="28" spans="1:71" ht="29.65" hidden="1" customHeight="1">
      <c r="A28" s="1">
        <v>39</v>
      </c>
      <c r="C28" s="76"/>
      <c r="D28" s="73"/>
      <c r="E28" s="73"/>
      <c r="F28" s="73"/>
      <c r="G28" s="73"/>
      <c r="H28" s="73"/>
      <c r="I28" s="77"/>
      <c r="J28" s="76"/>
      <c r="K28" s="73"/>
      <c r="L28" s="77"/>
      <c r="M28" s="83"/>
      <c r="N28" s="72"/>
      <c r="O28" s="72"/>
      <c r="P28" s="72"/>
      <c r="Q28" s="84"/>
      <c r="R28" s="88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81"/>
      <c r="AR28" s="88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81"/>
      <c r="BH28" s="89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</row>
    <row r="29" spans="1:71" ht="29.65" hidden="1" customHeight="1">
      <c r="A29" s="1">
        <v>40</v>
      </c>
      <c r="B29" s="182"/>
      <c r="C29" s="207"/>
      <c r="D29" s="206"/>
      <c r="E29" s="206"/>
      <c r="F29" s="206"/>
      <c r="G29" s="206"/>
      <c r="H29" s="206"/>
      <c r="I29" s="208"/>
      <c r="J29" s="207"/>
      <c r="K29" s="206"/>
      <c r="L29" s="208"/>
      <c r="M29" s="199"/>
      <c r="N29" s="200"/>
      <c r="O29" s="200"/>
      <c r="P29" s="200"/>
      <c r="Q29" s="201"/>
      <c r="R29" s="196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AQ29" s="198"/>
      <c r="AR29" s="196"/>
      <c r="AS29" s="197"/>
      <c r="AT29" s="197"/>
      <c r="AU29" s="197"/>
      <c r="AV29" s="197"/>
      <c r="AW29" s="197"/>
      <c r="AX29" s="197"/>
      <c r="AY29" s="197"/>
      <c r="AZ29" s="197"/>
      <c r="BA29" s="197"/>
      <c r="BB29" s="197"/>
      <c r="BC29" s="197"/>
      <c r="BD29" s="197"/>
      <c r="BE29" s="197"/>
      <c r="BF29" s="197"/>
      <c r="BG29" s="198"/>
      <c r="BH29" s="205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</row>
    <row r="30" spans="1:71" ht="29.65" hidden="1" customHeight="1">
      <c r="A30" s="1">
        <v>41</v>
      </c>
      <c r="C30" s="76"/>
      <c r="D30" s="73"/>
      <c r="E30" s="73"/>
      <c r="F30" s="73"/>
      <c r="G30" s="73"/>
      <c r="H30" s="73"/>
      <c r="I30" s="77"/>
      <c r="J30" s="76"/>
      <c r="K30" s="73"/>
      <c r="L30" s="77"/>
      <c r="M30" s="83"/>
      <c r="N30" s="72"/>
      <c r="O30" s="72"/>
      <c r="P30" s="72"/>
      <c r="Q30" s="84"/>
      <c r="R30" s="88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81"/>
      <c r="AR30" s="88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81"/>
      <c r="BH30" s="89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</row>
    <row r="31" spans="1:71" ht="30" hidden="1" customHeight="1">
      <c r="A31" s="1">
        <v>42</v>
      </c>
      <c r="B31" s="182"/>
      <c r="C31" s="207"/>
      <c r="D31" s="206"/>
      <c r="E31" s="206"/>
      <c r="F31" s="206"/>
      <c r="G31" s="206"/>
      <c r="H31" s="206"/>
      <c r="I31" s="208"/>
      <c r="J31" s="207"/>
      <c r="K31" s="206"/>
      <c r="L31" s="208"/>
      <c r="M31" s="199"/>
      <c r="N31" s="200"/>
      <c r="O31" s="200"/>
      <c r="P31" s="200"/>
      <c r="Q31" s="201"/>
      <c r="R31" s="196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8"/>
      <c r="AR31" s="196"/>
      <c r="AS31" s="197"/>
      <c r="AT31" s="197"/>
      <c r="AU31" s="197"/>
      <c r="AV31" s="197"/>
      <c r="AW31" s="197"/>
      <c r="AX31" s="197"/>
      <c r="AY31" s="197"/>
      <c r="AZ31" s="197"/>
      <c r="BA31" s="197"/>
      <c r="BB31" s="197"/>
      <c r="BC31" s="197"/>
      <c r="BD31" s="197"/>
      <c r="BE31" s="197"/>
      <c r="BF31" s="197"/>
      <c r="BG31" s="198"/>
      <c r="BH31" s="205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</row>
    <row r="32" spans="1:71" ht="29.65" hidden="1" customHeight="1">
      <c r="A32" s="1">
        <v>43</v>
      </c>
      <c r="C32" s="76"/>
      <c r="D32" s="73"/>
      <c r="E32" s="73"/>
      <c r="F32" s="73"/>
      <c r="G32" s="73"/>
      <c r="H32" s="73"/>
      <c r="I32" s="77"/>
      <c r="J32" s="76"/>
      <c r="K32" s="73"/>
      <c r="L32" s="77"/>
      <c r="M32" s="83"/>
      <c r="N32" s="72"/>
      <c r="O32" s="72"/>
      <c r="P32" s="72"/>
      <c r="Q32" s="84"/>
      <c r="R32" s="88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81"/>
      <c r="AR32" s="88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81"/>
      <c r="BH32" s="89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</row>
    <row r="33" spans="1:75" ht="30.6" hidden="1" customHeight="1">
      <c r="A33" s="1">
        <v>44</v>
      </c>
      <c r="B33" s="182"/>
      <c r="C33" s="207"/>
      <c r="D33" s="206"/>
      <c r="E33" s="206"/>
      <c r="F33" s="206"/>
      <c r="G33" s="206"/>
      <c r="H33" s="206"/>
      <c r="I33" s="208"/>
      <c r="J33" s="207"/>
      <c r="K33" s="206"/>
      <c r="L33" s="208"/>
      <c r="M33" s="199"/>
      <c r="N33" s="200"/>
      <c r="O33" s="200"/>
      <c r="P33" s="200"/>
      <c r="Q33" s="201"/>
      <c r="R33" s="196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8"/>
      <c r="AR33" s="196"/>
      <c r="AS33" s="197"/>
      <c r="AT33" s="197"/>
      <c r="AU33" s="197"/>
      <c r="AV33" s="197"/>
      <c r="AW33" s="197"/>
      <c r="AX33" s="197"/>
      <c r="AY33" s="197"/>
      <c r="AZ33" s="197"/>
      <c r="BA33" s="197"/>
      <c r="BB33" s="197"/>
      <c r="BC33" s="197"/>
      <c r="BD33" s="197"/>
      <c r="BE33" s="197"/>
      <c r="BF33" s="197"/>
      <c r="BG33" s="198"/>
      <c r="BH33" s="205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</row>
    <row r="34" spans="1:75" ht="29.65" hidden="1" customHeight="1">
      <c r="A34" s="1">
        <v>45</v>
      </c>
      <c r="C34" s="76"/>
      <c r="D34" s="73"/>
      <c r="E34" s="73"/>
      <c r="F34" s="73"/>
      <c r="G34" s="73"/>
      <c r="H34" s="73"/>
      <c r="I34" s="77"/>
      <c r="J34" s="76"/>
      <c r="K34" s="73"/>
      <c r="L34" s="77"/>
      <c r="M34" s="83"/>
      <c r="N34" s="72"/>
      <c r="O34" s="72"/>
      <c r="P34" s="72"/>
      <c r="Q34" s="84"/>
      <c r="R34" s="88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81"/>
      <c r="AR34" s="88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81"/>
      <c r="BH34" s="89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</row>
    <row r="35" spans="1:75" ht="29.65" hidden="1" customHeight="1">
      <c r="A35" s="1">
        <v>46</v>
      </c>
      <c r="B35" s="182"/>
      <c r="C35" s="207"/>
      <c r="D35" s="206"/>
      <c r="E35" s="206"/>
      <c r="F35" s="206"/>
      <c r="G35" s="206"/>
      <c r="H35" s="206"/>
      <c r="I35" s="208"/>
      <c r="J35" s="207"/>
      <c r="K35" s="206"/>
      <c r="L35" s="208"/>
      <c r="M35" s="199"/>
      <c r="N35" s="200"/>
      <c r="O35" s="200"/>
      <c r="P35" s="200"/>
      <c r="Q35" s="201"/>
      <c r="R35" s="196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  <c r="AP35" s="197"/>
      <c r="AQ35" s="198"/>
      <c r="AR35" s="196"/>
      <c r="AS35" s="197"/>
      <c r="AT35" s="197"/>
      <c r="AU35" s="197"/>
      <c r="AV35" s="197"/>
      <c r="AW35" s="197"/>
      <c r="AX35" s="197"/>
      <c r="AY35" s="197"/>
      <c r="AZ35" s="197"/>
      <c r="BA35" s="197"/>
      <c r="BB35" s="197"/>
      <c r="BC35" s="197"/>
      <c r="BD35" s="197"/>
      <c r="BE35" s="197"/>
      <c r="BF35" s="197"/>
      <c r="BG35" s="198"/>
      <c r="BH35" s="205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</row>
    <row r="36" spans="1:75" ht="29.65" hidden="1" customHeight="1">
      <c r="A36" s="1">
        <v>47</v>
      </c>
      <c r="C36" s="76"/>
      <c r="D36" s="73"/>
      <c r="E36" s="73"/>
      <c r="F36" s="73"/>
      <c r="G36" s="73"/>
      <c r="H36" s="73"/>
      <c r="I36" s="77"/>
      <c r="J36" s="76"/>
      <c r="K36" s="73"/>
      <c r="L36" s="77"/>
      <c r="M36" s="83"/>
      <c r="N36" s="72"/>
      <c r="O36" s="72"/>
      <c r="P36" s="72"/>
      <c r="Q36" s="84"/>
      <c r="R36" s="88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81"/>
      <c r="AR36" s="88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81"/>
      <c r="BH36" s="89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</row>
    <row r="37" spans="1:75" ht="29.65" hidden="1" customHeight="1">
      <c r="A37" s="1">
        <v>48</v>
      </c>
      <c r="B37" s="182"/>
      <c r="C37" s="207"/>
      <c r="D37" s="206"/>
      <c r="E37" s="206"/>
      <c r="F37" s="206"/>
      <c r="G37" s="206"/>
      <c r="H37" s="206"/>
      <c r="I37" s="208"/>
      <c r="J37" s="207"/>
      <c r="K37" s="206"/>
      <c r="L37" s="208"/>
      <c r="M37" s="199"/>
      <c r="N37" s="200"/>
      <c r="O37" s="200"/>
      <c r="P37" s="200"/>
      <c r="Q37" s="201"/>
      <c r="R37" s="196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  <c r="AP37" s="197"/>
      <c r="AQ37" s="198"/>
      <c r="AR37" s="196"/>
      <c r="AS37" s="197"/>
      <c r="AT37" s="197"/>
      <c r="AU37" s="197"/>
      <c r="AV37" s="197"/>
      <c r="AW37" s="197"/>
      <c r="AX37" s="197"/>
      <c r="AY37" s="197"/>
      <c r="AZ37" s="197"/>
      <c r="BA37" s="197"/>
      <c r="BB37" s="197"/>
      <c r="BC37" s="197"/>
      <c r="BD37" s="197"/>
      <c r="BE37" s="197"/>
      <c r="BF37" s="197"/>
      <c r="BG37" s="198"/>
      <c r="BH37" s="205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</row>
    <row r="38" spans="1:75" ht="29.65" hidden="1" customHeight="1">
      <c r="A38" s="1">
        <v>49</v>
      </c>
      <c r="C38" s="76"/>
      <c r="D38" s="73"/>
      <c r="E38" s="73"/>
      <c r="F38" s="73"/>
      <c r="G38" s="73"/>
      <c r="H38" s="73"/>
      <c r="I38" s="77"/>
      <c r="J38" s="76"/>
      <c r="K38" s="73"/>
      <c r="L38" s="77"/>
      <c r="M38" s="83"/>
      <c r="N38" s="72"/>
      <c r="O38" s="72"/>
      <c r="P38" s="72"/>
      <c r="Q38" s="84"/>
      <c r="R38" s="88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81"/>
      <c r="AR38" s="88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81"/>
      <c r="BH38" s="89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</row>
    <row r="39" spans="1:75" ht="29.65" hidden="1" customHeight="1" thickBot="1">
      <c r="A39" s="1">
        <v>50</v>
      </c>
      <c r="B39" s="182"/>
      <c r="C39" s="211"/>
      <c r="D39" s="212"/>
      <c r="E39" s="212"/>
      <c r="F39" s="212"/>
      <c r="G39" s="212"/>
      <c r="H39" s="212"/>
      <c r="I39" s="213"/>
      <c r="J39" s="211"/>
      <c r="K39" s="212"/>
      <c r="L39" s="213"/>
      <c r="M39" s="214"/>
      <c r="N39" s="215"/>
      <c r="O39" s="215"/>
      <c r="P39" s="215"/>
      <c r="Q39" s="216"/>
      <c r="R39" s="217"/>
      <c r="S39" s="218"/>
      <c r="T39" s="218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18"/>
      <c r="AM39" s="218"/>
      <c r="AN39" s="218"/>
      <c r="AO39" s="218"/>
      <c r="AP39" s="218"/>
      <c r="AQ39" s="219"/>
      <c r="AR39" s="217"/>
      <c r="AS39" s="218"/>
      <c r="AT39" s="218"/>
      <c r="AU39" s="218"/>
      <c r="AV39" s="218"/>
      <c r="AW39" s="218"/>
      <c r="AX39" s="218"/>
      <c r="AY39" s="218"/>
      <c r="AZ39" s="218"/>
      <c r="BA39" s="218"/>
      <c r="BB39" s="218"/>
      <c r="BC39" s="218"/>
      <c r="BD39" s="218"/>
      <c r="BE39" s="218"/>
      <c r="BF39" s="218"/>
      <c r="BG39" s="219"/>
      <c r="BH39" s="220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</row>
    <row r="40" spans="1:75" ht="21" thickBot="1">
      <c r="A40" s="1"/>
      <c r="B40" s="69" t="s">
        <v>144</v>
      </c>
      <c r="C40" s="78"/>
      <c r="D40" s="79"/>
      <c r="E40" s="79"/>
      <c r="F40" s="79"/>
      <c r="G40" s="79"/>
      <c r="H40" s="79"/>
      <c r="I40" s="80"/>
      <c r="J40" s="78"/>
      <c r="K40" s="79"/>
      <c r="L40" s="80"/>
      <c r="M40" s="85">
        <f>SUM(M15:M39)</f>
        <v>0</v>
      </c>
      <c r="N40" s="86">
        <f>SUM(N15:N39)</f>
        <v>0</v>
      </c>
      <c r="O40" s="86">
        <f>SUM(O15:O39)</f>
        <v>0</v>
      </c>
      <c r="P40" s="86">
        <f>SUM(P15:P39)</f>
        <v>0</v>
      </c>
      <c r="Q40" s="87">
        <f>SUM(Q15:Q39)</f>
        <v>0</v>
      </c>
      <c r="R40" s="85">
        <f t="shared" ref="R40:BH40" si="0">SUM(R15:R39)</f>
        <v>7</v>
      </c>
      <c r="S40" s="86">
        <f t="shared" si="0"/>
        <v>0</v>
      </c>
      <c r="T40" s="86">
        <f t="shared" si="0"/>
        <v>0</v>
      </c>
      <c r="U40" s="86">
        <f t="shared" si="0"/>
        <v>5</v>
      </c>
      <c r="V40" s="86">
        <f t="shared" si="0"/>
        <v>0</v>
      </c>
      <c r="W40" s="86">
        <f t="shared" si="0"/>
        <v>0</v>
      </c>
      <c r="X40" s="86">
        <f t="shared" si="0"/>
        <v>0</v>
      </c>
      <c r="Y40" s="86">
        <f t="shared" si="0"/>
        <v>0</v>
      </c>
      <c r="Z40" s="86">
        <f t="shared" si="0"/>
        <v>5</v>
      </c>
      <c r="AA40" s="86">
        <f t="shared" si="0"/>
        <v>0</v>
      </c>
      <c r="AB40" s="86">
        <f t="shared" si="0"/>
        <v>1</v>
      </c>
      <c r="AC40" s="86">
        <f t="shared" si="0"/>
        <v>3</v>
      </c>
      <c r="AD40" s="86">
        <f t="shared" si="0"/>
        <v>0</v>
      </c>
      <c r="AE40" s="86">
        <f t="shared" si="0"/>
        <v>0</v>
      </c>
      <c r="AF40" s="86">
        <f t="shared" si="0"/>
        <v>0</v>
      </c>
      <c r="AG40" s="86">
        <f t="shared" si="0"/>
        <v>0</v>
      </c>
      <c r="AH40" s="86">
        <f t="shared" si="0"/>
        <v>0</v>
      </c>
      <c r="AI40" s="86">
        <f t="shared" si="0"/>
        <v>0</v>
      </c>
      <c r="AJ40" s="86">
        <f t="shared" si="0"/>
        <v>2</v>
      </c>
      <c r="AK40" s="86">
        <f t="shared" si="0"/>
        <v>0</v>
      </c>
      <c r="AL40" s="86">
        <f t="shared" si="0"/>
        <v>0</v>
      </c>
      <c r="AM40" s="86">
        <f t="shared" si="0"/>
        <v>0</v>
      </c>
      <c r="AN40" s="86">
        <f t="shared" si="0"/>
        <v>0</v>
      </c>
      <c r="AO40" s="86">
        <f t="shared" si="0"/>
        <v>2</v>
      </c>
      <c r="AP40" s="86">
        <f t="shared" si="0"/>
        <v>0</v>
      </c>
      <c r="AQ40" s="87">
        <f t="shared" si="0"/>
        <v>3</v>
      </c>
      <c r="AR40" s="85">
        <f t="shared" si="0"/>
        <v>0</v>
      </c>
      <c r="AS40" s="86">
        <f t="shared" si="0"/>
        <v>0</v>
      </c>
      <c r="AT40" s="86">
        <f t="shared" si="0"/>
        <v>0</v>
      </c>
      <c r="AU40" s="86">
        <f t="shared" si="0"/>
        <v>0</v>
      </c>
      <c r="AV40" s="86">
        <f t="shared" si="0"/>
        <v>0</v>
      </c>
      <c r="AW40" s="86">
        <f t="shared" si="0"/>
        <v>0</v>
      </c>
      <c r="AX40" s="86">
        <f t="shared" si="0"/>
        <v>0</v>
      </c>
      <c r="AY40" s="86">
        <f t="shared" si="0"/>
        <v>0</v>
      </c>
      <c r="AZ40" s="86">
        <f t="shared" si="0"/>
        <v>0</v>
      </c>
      <c r="BA40" s="86">
        <f t="shared" si="0"/>
        <v>0</v>
      </c>
      <c r="BB40" s="86">
        <f t="shared" si="0"/>
        <v>0</v>
      </c>
      <c r="BC40" s="86">
        <f t="shared" si="0"/>
        <v>0</v>
      </c>
      <c r="BD40" s="86">
        <f t="shared" si="0"/>
        <v>0</v>
      </c>
      <c r="BE40" s="86">
        <f t="shared" si="0"/>
        <v>0</v>
      </c>
      <c r="BF40" s="86">
        <f t="shared" si="0"/>
        <v>0</v>
      </c>
      <c r="BG40" s="87">
        <f t="shared" si="0"/>
        <v>0</v>
      </c>
      <c r="BH40" s="90">
        <f t="shared" si="0"/>
        <v>0</v>
      </c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</row>
    <row r="41" spans="1:75">
      <c r="A41" s="8"/>
      <c r="B41" s="68" t="s">
        <v>145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62"/>
      <c r="N41" s="63"/>
      <c r="O41" s="64"/>
      <c r="P41" s="63"/>
      <c r="Q41" s="65"/>
      <c r="R41" s="60"/>
      <c r="S41" s="60"/>
      <c r="T41" s="60"/>
      <c r="U41" s="60"/>
      <c r="V41" s="60"/>
      <c r="W41" s="60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6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</row>
    <row r="42" spans="1:75">
      <c r="A42" s="8"/>
      <c r="B42" s="13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0"/>
      <c r="N42" s="10"/>
      <c r="O42" s="10"/>
      <c r="P42" s="10"/>
      <c r="Q42" s="11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5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</row>
    <row r="43" spans="1:75">
      <c r="A43" s="8"/>
      <c r="B43" s="16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0"/>
      <c r="N43" s="10"/>
      <c r="O43" s="10"/>
      <c r="P43" s="10"/>
      <c r="Q43" s="11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5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</row>
    <row r="44" spans="1:75">
      <c r="A44" s="8"/>
      <c r="B44" s="16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0"/>
      <c r="N44" s="10"/>
      <c r="O44" s="10"/>
      <c r="P44" s="10"/>
      <c r="Q44" s="11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5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</row>
    <row r="45" spans="1:75">
      <c r="A45" s="1"/>
      <c r="Q45" s="2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</row>
    <row r="46" spans="1:75">
      <c r="A46" s="1"/>
      <c r="Q46" s="2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</row>
    <row r="47" spans="1:75">
      <c r="A47" s="1"/>
      <c r="Q47" s="2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</row>
    <row r="48" spans="1: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2"/>
      <c r="N48" s="2"/>
      <c r="O48" s="2"/>
      <c r="P48" s="2"/>
      <c r="Q48" s="2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</row>
    <row r="49" spans="1:7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2"/>
      <c r="N49" s="2"/>
      <c r="O49" s="2"/>
      <c r="P49" s="2"/>
      <c r="Q49" s="2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</row>
    <row r="50" spans="1:7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2"/>
      <c r="N50" s="2"/>
      <c r="O50" s="2"/>
      <c r="P50" s="2"/>
      <c r="Q50" s="2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</row>
    <row r="51" spans="1:7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2"/>
      <c r="N51" s="2"/>
      <c r="O51" s="2"/>
      <c r="P51" s="2"/>
      <c r="Q51" s="2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</row>
    <row r="52" spans="1:7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2"/>
      <c r="N52" s="2"/>
      <c r="O52" s="2"/>
      <c r="P52" s="2"/>
      <c r="Q52" s="2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</row>
    <row r="53" spans="1:7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2"/>
      <c r="N53" s="2"/>
      <c r="O53" s="2"/>
      <c r="P53" s="2"/>
      <c r="Q53" s="2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</row>
    <row r="54" spans="1:7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2"/>
      <c r="N54" s="2"/>
      <c r="O54" s="2"/>
      <c r="P54" s="2"/>
      <c r="Q54" s="2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</row>
    <row r="55" spans="1:7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2"/>
      <c r="N55" s="2"/>
      <c r="O55" s="2"/>
      <c r="P55" s="2"/>
      <c r="Q55" s="2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</row>
    <row r="56" spans="1:7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2"/>
      <c r="N56" s="2"/>
      <c r="O56" s="2"/>
      <c r="P56" s="2"/>
      <c r="Q56" s="2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</row>
    <row r="57" spans="1:7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2"/>
      <c r="N57" s="2"/>
      <c r="O57" s="2"/>
      <c r="P57" s="2"/>
      <c r="Q57" s="2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</row>
    <row r="58" spans="1:7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2"/>
      <c r="N58" s="2"/>
      <c r="O58" s="2"/>
      <c r="P58" s="2"/>
      <c r="Q58" s="2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</row>
    <row r="59" spans="1:7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2"/>
      <c r="N59" s="2"/>
      <c r="O59" s="2"/>
      <c r="P59" s="2"/>
      <c r="Q59" s="2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</row>
    <row r="60" spans="1:7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2"/>
      <c r="N60" s="2"/>
      <c r="O60" s="2"/>
      <c r="P60" s="2"/>
      <c r="Q60" s="2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</row>
    <row r="61" spans="1:7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2"/>
      <c r="N61" s="2"/>
      <c r="O61" s="2"/>
      <c r="P61" s="2"/>
      <c r="Q61" s="2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</row>
    <row r="62" spans="1:7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2"/>
      <c r="N62" s="2"/>
      <c r="O62" s="2"/>
      <c r="P62" s="2"/>
      <c r="Q62" s="2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</row>
    <row r="63" spans="1:7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2"/>
      <c r="N63" s="2"/>
      <c r="O63" s="2"/>
      <c r="P63" s="2"/>
      <c r="Q63" s="2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</row>
    <row r="64" spans="1:7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2"/>
      <c r="N64" s="2"/>
      <c r="O64" s="2"/>
      <c r="P64" s="2"/>
      <c r="Q64" s="2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</row>
    <row r="65" spans="1:7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2"/>
      <c r="N65" s="2"/>
      <c r="O65" s="2"/>
      <c r="P65" s="2"/>
      <c r="Q65" s="2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</row>
    <row r="66" spans="1:7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2"/>
      <c r="N66" s="2"/>
      <c r="O66" s="2"/>
      <c r="P66" s="2"/>
      <c r="Q66" s="2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</row>
    <row r="67" spans="1:7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2"/>
      <c r="N67" s="2"/>
      <c r="O67" s="2"/>
      <c r="P67" s="2"/>
      <c r="Q67" s="2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</row>
    <row r="68" spans="1:7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2"/>
      <c r="N68" s="2"/>
      <c r="O68" s="2"/>
      <c r="P68" s="2"/>
      <c r="Q68" s="2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</row>
    <row r="69" spans="1:7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2"/>
      <c r="N69" s="2"/>
      <c r="O69" s="2"/>
      <c r="P69" s="2"/>
      <c r="Q69" s="2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</row>
    <row r="70" spans="1:7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2"/>
      <c r="N70" s="2"/>
      <c r="O70" s="2"/>
      <c r="P70" s="2"/>
      <c r="Q70" s="2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</row>
    <row r="71" spans="1: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2"/>
      <c r="N71" s="2"/>
      <c r="O71" s="2"/>
      <c r="P71" s="2"/>
      <c r="Q71" s="2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</row>
    <row r="72" spans="1:7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2"/>
      <c r="N72" s="2"/>
      <c r="O72" s="2"/>
      <c r="P72" s="2"/>
      <c r="Q72" s="2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</row>
    <row r="73" spans="1:7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2"/>
      <c r="N73" s="2"/>
      <c r="O73" s="2"/>
      <c r="P73" s="2"/>
      <c r="Q73" s="2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</row>
    <row r="74" spans="1:7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2"/>
      <c r="N74" s="2"/>
      <c r="O74" s="2"/>
      <c r="P74" s="2"/>
      <c r="Q74" s="2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</row>
    <row r="75" spans="1:7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2"/>
      <c r="N75" s="2"/>
      <c r="O75" s="2"/>
      <c r="P75" s="2"/>
      <c r="Q75" s="2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</row>
    <row r="76" spans="1:7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2"/>
      <c r="N76" s="2"/>
      <c r="O76" s="2"/>
      <c r="P76" s="2"/>
      <c r="Q76" s="2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</row>
    <row r="77" spans="1:7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"/>
      <c r="N77" s="2"/>
      <c r="O77" s="2"/>
      <c r="P77" s="2"/>
      <c r="Q77" s="2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</row>
    <row r="78" spans="1:7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2"/>
      <c r="N78" s="2"/>
      <c r="O78" s="2"/>
      <c r="P78" s="2"/>
      <c r="Q78" s="2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</row>
    <row r="79" spans="1:7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2"/>
      <c r="N79" s="2"/>
      <c r="O79" s="2"/>
      <c r="P79" s="2"/>
      <c r="Q79" s="2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</row>
    <row r="80" spans="1:7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2"/>
      <c r="N80" s="2"/>
      <c r="O80" s="2"/>
      <c r="P80" s="2"/>
      <c r="Q80" s="2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</row>
    <row r="81" spans="1:7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2"/>
      <c r="N81" s="2"/>
      <c r="O81" s="2"/>
      <c r="P81" s="2"/>
      <c r="Q81" s="2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</row>
    <row r="82" spans="1:7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"/>
      <c r="N82" s="2"/>
      <c r="O82" s="2"/>
      <c r="P82" s="2"/>
      <c r="Q82" s="2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</row>
    <row r="83" spans="1:7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2"/>
      <c r="N83" s="2"/>
      <c r="O83" s="2"/>
      <c r="P83" s="2"/>
      <c r="Q83" s="2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</row>
    <row r="84" spans="1:7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2"/>
      <c r="N84" s="2"/>
      <c r="O84" s="2"/>
      <c r="P84" s="2"/>
      <c r="Q84" s="2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</row>
    <row r="85" spans="1:7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2"/>
      <c r="N85" s="2"/>
      <c r="O85" s="2"/>
      <c r="P85" s="2"/>
      <c r="Q85" s="2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</row>
    <row r="86" spans="1:7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2"/>
      <c r="N86" s="2"/>
      <c r="O86" s="2"/>
      <c r="P86" s="2"/>
      <c r="Q86" s="2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</row>
    <row r="87" spans="1:7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2"/>
      <c r="N87" s="2"/>
      <c r="O87" s="2"/>
      <c r="P87" s="2"/>
      <c r="Q87" s="2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</row>
    <row r="88" spans="1:7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2"/>
      <c r="N88" s="2"/>
      <c r="O88" s="2"/>
      <c r="P88" s="2"/>
      <c r="Q88" s="2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</row>
    <row r="89" spans="1:7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"/>
      <c r="N89" s="2"/>
      <c r="O89" s="2"/>
      <c r="P89" s="2"/>
      <c r="Q89" s="2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</row>
    <row r="90" spans="1:7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"/>
      <c r="N90" s="2"/>
      <c r="O90" s="2"/>
      <c r="P90" s="2"/>
      <c r="Q90" s="2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</row>
    <row r="91" spans="1:7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"/>
      <c r="N91" s="2"/>
      <c r="O91" s="2"/>
      <c r="P91" s="2"/>
      <c r="Q91" s="2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</row>
    <row r="92" spans="1:7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"/>
      <c r="N92" s="2"/>
      <c r="O92" s="2"/>
      <c r="P92" s="2"/>
      <c r="Q92" s="2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</row>
    <row r="93" spans="1:7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"/>
      <c r="N93" s="2"/>
      <c r="O93" s="2"/>
      <c r="P93" s="2"/>
      <c r="Q93" s="2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</row>
    <row r="94" spans="1:7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"/>
      <c r="N94" s="2"/>
      <c r="O94" s="2"/>
      <c r="P94" s="2"/>
      <c r="Q94" s="2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</row>
    <row r="95" spans="1:7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"/>
      <c r="N95" s="2"/>
      <c r="O95" s="2"/>
      <c r="P95" s="2"/>
      <c r="Q95" s="2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</row>
    <row r="96" spans="1:7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"/>
      <c r="N96" s="2"/>
      <c r="O96" s="2"/>
      <c r="P96" s="2"/>
      <c r="Q96" s="2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</row>
    <row r="97" spans="1:7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"/>
      <c r="N97" s="2"/>
      <c r="O97" s="2"/>
      <c r="P97" s="2"/>
      <c r="Q97" s="2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</row>
    <row r="98" spans="1:7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2"/>
      <c r="N98" s="2"/>
      <c r="O98" s="2"/>
      <c r="P98" s="2"/>
      <c r="Q98" s="2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</row>
  </sheetData>
  <mergeCells count="8">
    <mergeCell ref="C11:F11"/>
    <mergeCell ref="C12:F12"/>
    <mergeCell ref="C6:F6"/>
    <mergeCell ref="C7:F7"/>
    <mergeCell ref="AP7:AT8"/>
    <mergeCell ref="C8:F8"/>
    <mergeCell ref="C9:F9"/>
    <mergeCell ref="C10:F10"/>
  </mergeCells>
  <printOptions horizontalCentered="1" gridLines="1"/>
  <pageMargins left="0.17" right="0.16" top="0.42" bottom="0.17" header="0.17" footer="0.17"/>
  <pageSetup scale="43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B98"/>
  <sheetViews>
    <sheetView zoomScale="60" zoomScaleNormal="60" workbookViewId="0">
      <pane xSplit="17" ySplit="14" topLeftCell="R15" activePane="bottomRight" state="frozen"/>
      <selection pane="bottomRight" activeCell="B37" sqref="B37"/>
      <selection pane="bottomLeft" activeCell="T16" sqref="T16"/>
      <selection pane="topRight" activeCell="T16" sqref="T16"/>
    </sheetView>
  </sheetViews>
  <sheetFormatPr defaultRowHeight="20.25"/>
  <cols>
    <col min="1" max="1" width="4.5703125" style="3" customWidth="1"/>
    <col min="2" max="2" width="40.7109375" style="3" customWidth="1"/>
    <col min="3" max="9" width="4.7109375" style="3" customWidth="1"/>
    <col min="10" max="10" width="5" style="3" customWidth="1"/>
    <col min="11" max="12" width="4.7109375" style="3" customWidth="1"/>
    <col min="13" max="13" width="6.5703125" style="5" bestFit="1" customWidth="1"/>
    <col min="14" max="14" width="4.7109375" style="5" customWidth="1"/>
    <col min="15" max="15" width="6.5703125" style="5" bestFit="1" customWidth="1"/>
    <col min="16" max="17" width="4.7109375" style="5" customWidth="1"/>
    <col min="18" max="60" width="4.7109375" style="3" customWidth="1"/>
    <col min="61" max="78" width="3.28515625" style="3" customWidth="1"/>
    <col min="79" max="79" width="3" style="3" customWidth="1"/>
    <col min="80" max="80" width="3.28515625" style="3" customWidth="1"/>
    <col min="81" max="271" width="8.7109375" style="3"/>
    <col min="272" max="272" width="20" style="3" customWidth="1"/>
    <col min="273" max="273" width="42.5703125" style="3" customWidth="1"/>
    <col min="274" max="281" width="3.28515625" style="3" customWidth="1"/>
    <col min="282" max="282" width="4.7109375" style="3" customWidth="1"/>
    <col min="283" max="290" width="3.28515625" style="3" customWidth="1"/>
    <col min="291" max="291" width="4.140625" style="3" customWidth="1"/>
    <col min="292" max="324" width="3.28515625" style="3" customWidth="1"/>
    <col min="325" max="325" width="39.7109375" style="3" customWidth="1"/>
    <col min="326" max="527" width="8.7109375" style="3"/>
    <col min="528" max="528" width="20" style="3" customWidth="1"/>
    <col min="529" max="529" width="42.5703125" style="3" customWidth="1"/>
    <col min="530" max="537" width="3.28515625" style="3" customWidth="1"/>
    <col min="538" max="538" width="4.7109375" style="3" customWidth="1"/>
    <col min="539" max="546" width="3.28515625" style="3" customWidth="1"/>
    <col min="547" max="547" width="4.140625" style="3" customWidth="1"/>
    <col min="548" max="580" width="3.28515625" style="3" customWidth="1"/>
    <col min="581" max="581" width="39.7109375" style="3" customWidth="1"/>
    <col min="582" max="783" width="8.7109375" style="3"/>
    <col min="784" max="784" width="20" style="3" customWidth="1"/>
    <col min="785" max="785" width="42.5703125" style="3" customWidth="1"/>
    <col min="786" max="793" width="3.28515625" style="3" customWidth="1"/>
    <col min="794" max="794" width="4.7109375" style="3" customWidth="1"/>
    <col min="795" max="802" width="3.28515625" style="3" customWidth="1"/>
    <col min="803" max="803" width="4.140625" style="3" customWidth="1"/>
    <col min="804" max="836" width="3.28515625" style="3" customWidth="1"/>
    <col min="837" max="837" width="39.7109375" style="3" customWidth="1"/>
    <col min="838" max="1039" width="8.7109375" style="3"/>
    <col min="1040" max="1040" width="20" style="3" customWidth="1"/>
    <col min="1041" max="1041" width="42.5703125" style="3" customWidth="1"/>
    <col min="1042" max="1049" width="3.28515625" style="3" customWidth="1"/>
    <col min="1050" max="1050" width="4.7109375" style="3" customWidth="1"/>
    <col min="1051" max="1058" width="3.28515625" style="3" customWidth="1"/>
    <col min="1059" max="1059" width="4.140625" style="3" customWidth="1"/>
    <col min="1060" max="1092" width="3.28515625" style="3" customWidth="1"/>
    <col min="1093" max="1093" width="39.7109375" style="3" customWidth="1"/>
    <col min="1094" max="1295" width="8.7109375" style="3"/>
    <col min="1296" max="1296" width="20" style="3" customWidth="1"/>
    <col min="1297" max="1297" width="42.5703125" style="3" customWidth="1"/>
    <col min="1298" max="1305" width="3.28515625" style="3" customWidth="1"/>
    <col min="1306" max="1306" width="4.7109375" style="3" customWidth="1"/>
    <col min="1307" max="1314" width="3.28515625" style="3" customWidth="1"/>
    <col min="1315" max="1315" width="4.140625" style="3" customWidth="1"/>
    <col min="1316" max="1348" width="3.28515625" style="3" customWidth="1"/>
    <col min="1349" max="1349" width="39.7109375" style="3" customWidth="1"/>
    <col min="1350" max="1551" width="8.7109375" style="3"/>
    <col min="1552" max="1552" width="20" style="3" customWidth="1"/>
    <col min="1553" max="1553" width="42.5703125" style="3" customWidth="1"/>
    <col min="1554" max="1561" width="3.28515625" style="3" customWidth="1"/>
    <col min="1562" max="1562" width="4.7109375" style="3" customWidth="1"/>
    <col min="1563" max="1570" width="3.28515625" style="3" customWidth="1"/>
    <col min="1571" max="1571" width="4.140625" style="3" customWidth="1"/>
    <col min="1572" max="1604" width="3.28515625" style="3" customWidth="1"/>
    <col min="1605" max="1605" width="39.7109375" style="3" customWidth="1"/>
    <col min="1606" max="1807" width="8.7109375" style="3"/>
    <col min="1808" max="1808" width="20" style="3" customWidth="1"/>
    <col min="1809" max="1809" width="42.5703125" style="3" customWidth="1"/>
    <col min="1810" max="1817" width="3.28515625" style="3" customWidth="1"/>
    <col min="1818" max="1818" width="4.7109375" style="3" customWidth="1"/>
    <col min="1819" max="1826" width="3.28515625" style="3" customWidth="1"/>
    <col min="1827" max="1827" width="4.140625" style="3" customWidth="1"/>
    <col min="1828" max="1860" width="3.28515625" style="3" customWidth="1"/>
    <col min="1861" max="1861" width="39.7109375" style="3" customWidth="1"/>
    <col min="1862" max="2063" width="8.7109375" style="3"/>
    <col min="2064" max="2064" width="20" style="3" customWidth="1"/>
    <col min="2065" max="2065" width="42.5703125" style="3" customWidth="1"/>
    <col min="2066" max="2073" width="3.28515625" style="3" customWidth="1"/>
    <col min="2074" max="2074" width="4.7109375" style="3" customWidth="1"/>
    <col min="2075" max="2082" width="3.28515625" style="3" customWidth="1"/>
    <col min="2083" max="2083" width="4.140625" style="3" customWidth="1"/>
    <col min="2084" max="2116" width="3.28515625" style="3" customWidth="1"/>
    <col min="2117" max="2117" width="39.7109375" style="3" customWidth="1"/>
    <col min="2118" max="2319" width="8.7109375" style="3"/>
    <col min="2320" max="2320" width="20" style="3" customWidth="1"/>
    <col min="2321" max="2321" width="42.5703125" style="3" customWidth="1"/>
    <col min="2322" max="2329" width="3.28515625" style="3" customWidth="1"/>
    <col min="2330" max="2330" width="4.7109375" style="3" customWidth="1"/>
    <col min="2331" max="2338" width="3.28515625" style="3" customWidth="1"/>
    <col min="2339" max="2339" width="4.140625" style="3" customWidth="1"/>
    <col min="2340" max="2372" width="3.28515625" style="3" customWidth="1"/>
    <col min="2373" max="2373" width="39.7109375" style="3" customWidth="1"/>
    <col min="2374" max="2575" width="8.7109375" style="3"/>
    <col min="2576" max="2576" width="20" style="3" customWidth="1"/>
    <col min="2577" max="2577" width="42.5703125" style="3" customWidth="1"/>
    <col min="2578" max="2585" width="3.28515625" style="3" customWidth="1"/>
    <col min="2586" max="2586" width="4.7109375" style="3" customWidth="1"/>
    <col min="2587" max="2594" width="3.28515625" style="3" customWidth="1"/>
    <col min="2595" max="2595" width="4.140625" style="3" customWidth="1"/>
    <col min="2596" max="2628" width="3.28515625" style="3" customWidth="1"/>
    <col min="2629" max="2629" width="39.7109375" style="3" customWidth="1"/>
    <col min="2630" max="2831" width="8.7109375" style="3"/>
    <col min="2832" max="2832" width="20" style="3" customWidth="1"/>
    <col min="2833" max="2833" width="42.5703125" style="3" customWidth="1"/>
    <col min="2834" max="2841" width="3.28515625" style="3" customWidth="1"/>
    <col min="2842" max="2842" width="4.7109375" style="3" customWidth="1"/>
    <col min="2843" max="2850" width="3.28515625" style="3" customWidth="1"/>
    <col min="2851" max="2851" width="4.140625" style="3" customWidth="1"/>
    <col min="2852" max="2884" width="3.28515625" style="3" customWidth="1"/>
    <col min="2885" max="2885" width="39.7109375" style="3" customWidth="1"/>
    <col min="2886" max="3087" width="8.7109375" style="3"/>
    <col min="3088" max="3088" width="20" style="3" customWidth="1"/>
    <col min="3089" max="3089" width="42.5703125" style="3" customWidth="1"/>
    <col min="3090" max="3097" width="3.28515625" style="3" customWidth="1"/>
    <col min="3098" max="3098" width="4.7109375" style="3" customWidth="1"/>
    <col min="3099" max="3106" width="3.28515625" style="3" customWidth="1"/>
    <col min="3107" max="3107" width="4.140625" style="3" customWidth="1"/>
    <col min="3108" max="3140" width="3.28515625" style="3" customWidth="1"/>
    <col min="3141" max="3141" width="39.7109375" style="3" customWidth="1"/>
    <col min="3142" max="3343" width="8.7109375" style="3"/>
    <col min="3344" max="3344" width="20" style="3" customWidth="1"/>
    <col min="3345" max="3345" width="42.5703125" style="3" customWidth="1"/>
    <col min="3346" max="3353" width="3.28515625" style="3" customWidth="1"/>
    <col min="3354" max="3354" width="4.7109375" style="3" customWidth="1"/>
    <col min="3355" max="3362" width="3.28515625" style="3" customWidth="1"/>
    <col min="3363" max="3363" width="4.140625" style="3" customWidth="1"/>
    <col min="3364" max="3396" width="3.28515625" style="3" customWidth="1"/>
    <col min="3397" max="3397" width="39.7109375" style="3" customWidth="1"/>
    <col min="3398" max="3599" width="8.7109375" style="3"/>
    <col min="3600" max="3600" width="20" style="3" customWidth="1"/>
    <col min="3601" max="3601" width="42.5703125" style="3" customWidth="1"/>
    <col min="3602" max="3609" width="3.28515625" style="3" customWidth="1"/>
    <col min="3610" max="3610" width="4.7109375" style="3" customWidth="1"/>
    <col min="3611" max="3618" width="3.28515625" style="3" customWidth="1"/>
    <col min="3619" max="3619" width="4.140625" style="3" customWidth="1"/>
    <col min="3620" max="3652" width="3.28515625" style="3" customWidth="1"/>
    <col min="3653" max="3653" width="39.7109375" style="3" customWidth="1"/>
    <col min="3654" max="3855" width="8.7109375" style="3"/>
    <col min="3856" max="3856" width="20" style="3" customWidth="1"/>
    <col min="3857" max="3857" width="42.5703125" style="3" customWidth="1"/>
    <col min="3858" max="3865" width="3.28515625" style="3" customWidth="1"/>
    <col min="3866" max="3866" width="4.7109375" style="3" customWidth="1"/>
    <col min="3867" max="3874" width="3.28515625" style="3" customWidth="1"/>
    <col min="3875" max="3875" width="4.140625" style="3" customWidth="1"/>
    <col min="3876" max="3908" width="3.28515625" style="3" customWidth="1"/>
    <col min="3909" max="3909" width="39.7109375" style="3" customWidth="1"/>
    <col min="3910" max="4111" width="8.7109375" style="3"/>
    <col min="4112" max="4112" width="20" style="3" customWidth="1"/>
    <col min="4113" max="4113" width="42.5703125" style="3" customWidth="1"/>
    <col min="4114" max="4121" width="3.28515625" style="3" customWidth="1"/>
    <col min="4122" max="4122" width="4.7109375" style="3" customWidth="1"/>
    <col min="4123" max="4130" width="3.28515625" style="3" customWidth="1"/>
    <col min="4131" max="4131" width="4.140625" style="3" customWidth="1"/>
    <col min="4132" max="4164" width="3.28515625" style="3" customWidth="1"/>
    <col min="4165" max="4165" width="39.7109375" style="3" customWidth="1"/>
    <col min="4166" max="4367" width="8.7109375" style="3"/>
    <col min="4368" max="4368" width="20" style="3" customWidth="1"/>
    <col min="4369" max="4369" width="42.5703125" style="3" customWidth="1"/>
    <col min="4370" max="4377" width="3.28515625" style="3" customWidth="1"/>
    <col min="4378" max="4378" width="4.7109375" style="3" customWidth="1"/>
    <col min="4379" max="4386" width="3.28515625" style="3" customWidth="1"/>
    <col min="4387" max="4387" width="4.140625" style="3" customWidth="1"/>
    <col min="4388" max="4420" width="3.28515625" style="3" customWidth="1"/>
    <col min="4421" max="4421" width="39.7109375" style="3" customWidth="1"/>
    <col min="4422" max="4623" width="8.7109375" style="3"/>
    <col min="4624" max="4624" width="20" style="3" customWidth="1"/>
    <col min="4625" max="4625" width="42.5703125" style="3" customWidth="1"/>
    <col min="4626" max="4633" width="3.28515625" style="3" customWidth="1"/>
    <col min="4634" max="4634" width="4.7109375" style="3" customWidth="1"/>
    <col min="4635" max="4642" width="3.28515625" style="3" customWidth="1"/>
    <col min="4643" max="4643" width="4.140625" style="3" customWidth="1"/>
    <col min="4644" max="4676" width="3.28515625" style="3" customWidth="1"/>
    <col min="4677" max="4677" width="39.7109375" style="3" customWidth="1"/>
    <col min="4678" max="4879" width="8.7109375" style="3"/>
    <col min="4880" max="4880" width="20" style="3" customWidth="1"/>
    <col min="4881" max="4881" width="42.5703125" style="3" customWidth="1"/>
    <col min="4882" max="4889" width="3.28515625" style="3" customWidth="1"/>
    <col min="4890" max="4890" width="4.7109375" style="3" customWidth="1"/>
    <col min="4891" max="4898" width="3.28515625" style="3" customWidth="1"/>
    <col min="4899" max="4899" width="4.140625" style="3" customWidth="1"/>
    <col min="4900" max="4932" width="3.28515625" style="3" customWidth="1"/>
    <col min="4933" max="4933" width="39.7109375" style="3" customWidth="1"/>
    <col min="4934" max="5135" width="8.7109375" style="3"/>
    <col min="5136" max="5136" width="20" style="3" customWidth="1"/>
    <col min="5137" max="5137" width="42.5703125" style="3" customWidth="1"/>
    <col min="5138" max="5145" width="3.28515625" style="3" customWidth="1"/>
    <col min="5146" max="5146" width="4.7109375" style="3" customWidth="1"/>
    <col min="5147" max="5154" width="3.28515625" style="3" customWidth="1"/>
    <col min="5155" max="5155" width="4.140625" style="3" customWidth="1"/>
    <col min="5156" max="5188" width="3.28515625" style="3" customWidth="1"/>
    <col min="5189" max="5189" width="39.7109375" style="3" customWidth="1"/>
    <col min="5190" max="5391" width="8.7109375" style="3"/>
    <col min="5392" max="5392" width="20" style="3" customWidth="1"/>
    <col min="5393" max="5393" width="42.5703125" style="3" customWidth="1"/>
    <col min="5394" max="5401" width="3.28515625" style="3" customWidth="1"/>
    <col min="5402" max="5402" width="4.7109375" style="3" customWidth="1"/>
    <col min="5403" max="5410" width="3.28515625" style="3" customWidth="1"/>
    <col min="5411" max="5411" width="4.140625" style="3" customWidth="1"/>
    <col min="5412" max="5444" width="3.28515625" style="3" customWidth="1"/>
    <col min="5445" max="5445" width="39.7109375" style="3" customWidth="1"/>
    <col min="5446" max="5647" width="8.7109375" style="3"/>
    <col min="5648" max="5648" width="20" style="3" customWidth="1"/>
    <col min="5649" max="5649" width="42.5703125" style="3" customWidth="1"/>
    <col min="5650" max="5657" width="3.28515625" style="3" customWidth="1"/>
    <col min="5658" max="5658" width="4.7109375" style="3" customWidth="1"/>
    <col min="5659" max="5666" width="3.28515625" style="3" customWidth="1"/>
    <col min="5667" max="5667" width="4.140625" style="3" customWidth="1"/>
    <col min="5668" max="5700" width="3.28515625" style="3" customWidth="1"/>
    <col min="5701" max="5701" width="39.7109375" style="3" customWidth="1"/>
    <col min="5702" max="5903" width="8.7109375" style="3"/>
    <col min="5904" max="5904" width="20" style="3" customWidth="1"/>
    <col min="5905" max="5905" width="42.5703125" style="3" customWidth="1"/>
    <col min="5906" max="5913" width="3.28515625" style="3" customWidth="1"/>
    <col min="5914" max="5914" width="4.7109375" style="3" customWidth="1"/>
    <col min="5915" max="5922" width="3.28515625" style="3" customWidth="1"/>
    <col min="5923" max="5923" width="4.140625" style="3" customWidth="1"/>
    <col min="5924" max="5956" width="3.28515625" style="3" customWidth="1"/>
    <col min="5957" max="5957" width="39.7109375" style="3" customWidth="1"/>
    <col min="5958" max="6159" width="8.7109375" style="3"/>
    <col min="6160" max="6160" width="20" style="3" customWidth="1"/>
    <col min="6161" max="6161" width="42.5703125" style="3" customWidth="1"/>
    <col min="6162" max="6169" width="3.28515625" style="3" customWidth="1"/>
    <col min="6170" max="6170" width="4.7109375" style="3" customWidth="1"/>
    <col min="6171" max="6178" width="3.28515625" style="3" customWidth="1"/>
    <col min="6179" max="6179" width="4.140625" style="3" customWidth="1"/>
    <col min="6180" max="6212" width="3.28515625" style="3" customWidth="1"/>
    <col min="6213" max="6213" width="39.7109375" style="3" customWidth="1"/>
    <col min="6214" max="6415" width="8.7109375" style="3"/>
    <col min="6416" max="6416" width="20" style="3" customWidth="1"/>
    <col min="6417" max="6417" width="42.5703125" style="3" customWidth="1"/>
    <col min="6418" max="6425" width="3.28515625" style="3" customWidth="1"/>
    <col min="6426" max="6426" width="4.7109375" style="3" customWidth="1"/>
    <col min="6427" max="6434" width="3.28515625" style="3" customWidth="1"/>
    <col min="6435" max="6435" width="4.140625" style="3" customWidth="1"/>
    <col min="6436" max="6468" width="3.28515625" style="3" customWidth="1"/>
    <col min="6469" max="6469" width="39.7109375" style="3" customWidth="1"/>
    <col min="6470" max="6671" width="8.7109375" style="3"/>
    <col min="6672" max="6672" width="20" style="3" customWidth="1"/>
    <col min="6673" max="6673" width="42.5703125" style="3" customWidth="1"/>
    <col min="6674" max="6681" width="3.28515625" style="3" customWidth="1"/>
    <col min="6682" max="6682" width="4.7109375" style="3" customWidth="1"/>
    <col min="6683" max="6690" width="3.28515625" style="3" customWidth="1"/>
    <col min="6691" max="6691" width="4.140625" style="3" customWidth="1"/>
    <col min="6692" max="6724" width="3.28515625" style="3" customWidth="1"/>
    <col min="6725" max="6725" width="39.7109375" style="3" customWidth="1"/>
    <col min="6726" max="6927" width="8.7109375" style="3"/>
    <col min="6928" max="6928" width="20" style="3" customWidth="1"/>
    <col min="6929" max="6929" width="42.5703125" style="3" customWidth="1"/>
    <col min="6930" max="6937" width="3.28515625" style="3" customWidth="1"/>
    <col min="6938" max="6938" width="4.7109375" style="3" customWidth="1"/>
    <col min="6939" max="6946" width="3.28515625" style="3" customWidth="1"/>
    <col min="6947" max="6947" width="4.140625" style="3" customWidth="1"/>
    <col min="6948" max="6980" width="3.28515625" style="3" customWidth="1"/>
    <col min="6981" max="6981" width="39.7109375" style="3" customWidth="1"/>
    <col min="6982" max="7183" width="8.7109375" style="3"/>
    <col min="7184" max="7184" width="20" style="3" customWidth="1"/>
    <col min="7185" max="7185" width="42.5703125" style="3" customWidth="1"/>
    <col min="7186" max="7193" width="3.28515625" style="3" customWidth="1"/>
    <col min="7194" max="7194" width="4.7109375" style="3" customWidth="1"/>
    <col min="7195" max="7202" width="3.28515625" style="3" customWidth="1"/>
    <col min="7203" max="7203" width="4.140625" style="3" customWidth="1"/>
    <col min="7204" max="7236" width="3.28515625" style="3" customWidth="1"/>
    <col min="7237" max="7237" width="39.7109375" style="3" customWidth="1"/>
    <col min="7238" max="7439" width="8.7109375" style="3"/>
    <col min="7440" max="7440" width="20" style="3" customWidth="1"/>
    <col min="7441" max="7441" width="42.5703125" style="3" customWidth="1"/>
    <col min="7442" max="7449" width="3.28515625" style="3" customWidth="1"/>
    <col min="7450" max="7450" width="4.7109375" style="3" customWidth="1"/>
    <col min="7451" max="7458" width="3.28515625" style="3" customWidth="1"/>
    <col min="7459" max="7459" width="4.140625" style="3" customWidth="1"/>
    <col min="7460" max="7492" width="3.28515625" style="3" customWidth="1"/>
    <col min="7493" max="7493" width="39.7109375" style="3" customWidth="1"/>
    <col min="7494" max="7695" width="8.7109375" style="3"/>
    <col min="7696" max="7696" width="20" style="3" customWidth="1"/>
    <col min="7697" max="7697" width="42.5703125" style="3" customWidth="1"/>
    <col min="7698" max="7705" width="3.28515625" style="3" customWidth="1"/>
    <col min="7706" max="7706" width="4.7109375" style="3" customWidth="1"/>
    <col min="7707" max="7714" width="3.28515625" style="3" customWidth="1"/>
    <col min="7715" max="7715" width="4.140625" style="3" customWidth="1"/>
    <col min="7716" max="7748" width="3.28515625" style="3" customWidth="1"/>
    <col min="7749" max="7749" width="39.7109375" style="3" customWidth="1"/>
    <col min="7750" max="7951" width="8.7109375" style="3"/>
    <col min="7952" max="7952" width="20" style="3" customWidth="1"/>
    <col min="7953" max="7953" width="42.5703125" style="3" customWidth="1"/>
    <col min="7954" max="7961" width="3.28515625" style="3" customWidth="1"/>
    <col min="7962" max="7962" width="4.7109375" style="3" customWidth="1"/>
    <col min="7963" max="7970" width="3.28515625" style="3" customWidth="1"/>
    <col min="7971" max="7971" width="4.140625" style="3" customWidth="1"/>
    <col min="7972" max="8004" width="3.28515625" style="3" customWidth="1"/>
    <col min="8005" max="8005" width="39.7109375" style="3" customWidth="1"/>
    <col min="8006" max="8207" width="8.7109375" style="3"/>
    <col min="8208" max="8208" width="20" style="3" customWidth="1"/>
    <col min="8209" max="8209" width="42.5703125" style="3" customWidth="1"/>
    <col min="8210" max="8217" width="3.28515625" style="3" customWidth="1"/>
    <col min="8218" max="8218" width="4.7109375" style="3" customWidth="1"/>
    <col min="8219" max="8226" width="3.28515625" style="3" customWidth="1"/>
    <col min="8227" max="8227" width="4.140625" style="3" customWidth="1"/>
    <col min="8228" max="8260" width="3.28515625" style="3" customWidth="1"/>
    <col min="8261" max="8261" width="39.7109375" style="3" customWidth="1"/>
    <col min="8262" max="8463" width="8.7109375" style="3"/>
    <col min="8464" max="8464" width="20" style="3" customWidth="1"/>
    <col min="8465" max="8465" width="42.5703125" style="3" customWidth="1"/>
    <col min="8466" max="8473" width="3.28515625" style="3" customWidth="1"/>
    <col min="8474" max="8474" width="4.7109375" style="3" customWidth="1"/>
    <col min="8475" max="8482" width="3.28515625" style="3" customWidth="1"/>
    <col min="8483" max="8483" width="4.140625" style="3" customWidth="1"/>
    <col min="8484" max="8516" width="3.28515625" style="3" customWidth="1"/>
    <col min="8517" max="8517" width="39.7109375" style="3" customWidth="1"/>
    <col min="8518" max="8719" width="8.7109375" style="3"/>
    <col min="8720" max="8720" width="20" style="3" customWidth="1"/>
    <col min="8721" max="8721" width="42.5703125" style="3" customWidth="1"/>
    <col min="8722" max="8729" width="3.28515625" style="3" customWidth="1"/>
    <col min="8730" max="8730" width="4.7109375" style="3" customWidth="1"/>
    <col min="8731" max="8738" width="3.28515625" style="3" customWidth="1"/>
    <col min="8739" max="8739" width="4.140625" style="3" customWidth="1"/>
    <col min="8740" max="8772" width="3.28515625" style="3" customWidth="1"/>
    <col min="8773" max="8773" width="39.7109375" style="3" customWidth="1"/>
    <col min="8774" max="8975" width="8.7109375" style="3"/>
    <col min="8976" max="8976" width="20" style="3" customWidth="1"/>
    <col min="8977" max="8977" width="42.5703125" style="3" customWidth="1"/>
    <col min="8978" max="8985" width="3.28515625" style="3" customWidth="1"/>
    <col min="8986" max="8986" width="4.7109375" style="3" customWidth="1"/>
    <col min="8987" max="8994" width="3.28515625" style="3" customWidth="1"/>
    <col min="8995" max="8995" width="4.140625" style="3" customWidth="1"/>
    <col min="8996" max="9028" width="3.28515625" style="3" customWidth="1"/>
    <col min="9029" max="9029" width="39.7109375" style="3" customWidth="1"/>
    <col min="9030" max="9231" width="8.7109375" style="3"/>
    <col min="9232" max="9232" width="20" style="3" customWidth="1"/>
    <col min="9233" max="9233" width="42.5703125" style="3" customWidth="1"/>
    <col min="9234" max="9241" width="3.28515625" style="3" customWidth="1"/>
    <col min="9242" max="9242" width="4.7109375" style="3" customWidth="1"/>
    <col min="9243" max="9250" width="3.28515625" style="3" customWidth="1"/>
    <col min="9251" max="9251" width="4.140625" style="3" customWidth="1"/>
    <col min="9252" max="9284" width="3.28515625" style="3" customWidth="1"/>
    <col min="9285" max="9285" width="39.7109375" style="3" customWidth="1"/>
    <col min="9286" max="9487" width="8.7109375" style="3"/>
    <col min="9488" max="9488" width="20" style="3" customWidth="1"/>
    <col min="9489" max="9489" width="42.5703125" style="3" customWidth="1"/>
    <col min="9490" max="9497" width="3.28515625" style="3" customWidth="1"/>
    <col min="9498" max="9498" width="4.7109375" style="3" customWidth="1"/>
    <col min="9499" max="9506" width="3.28515625" style="3" customWidth="1"/>
    <col min="9507" max="9507" width="4.140625" style="3" customWidth="1"/>
    <col min="9508" max="9540" width="3.28515625" style="3" customWidth="1"/>
    <col min="9541" max="9541" width="39.7109375" style="3" customWidth="1"/>
    <col min="9542" max="9743" width="8.7109375" style="3"/>
    <col min="9744" max="9744" width="20" style="3" customWidth="1"/>
    <col min="9745" max="9745" width="42.5703125" style="3" customWidth="1"/>
    <col min="9746" max="9753" width="3.28515625" style="3" customWidth="1"/>
    <col min="9754" max="9754" width="4.7109375" style="3" customWidth="1"/>
    <col min="9755" max="9762" width="3.28515625" style="3" customWidth="1"/>
    <col min="9763" max="9763" width="4.140625" style="3" customWidth="1"/>
    <col min="9764" max="9796" width="3.28515625" style="3" customWidth="1"/>
    <col min="9797" max="9797" width="39.7109375" style="3" customWidth="1"/>
    <col min="9798" max="9999" width="8.7109375" style="3"/>
    <col min="10000" max="10000" width="20" style="3" customWidth="1"/>
    <col min="10001" max="10001" width="42.5703125" style="3" customWidth="1"/>
    <col min="10002" max="10009" width="3.28515625" style="3" customWidth="1"/>
    <col min="10010" max="10010" width="4.7109375" style="3" customWidth="1"/>
    <col min="10011" max="10018" width="3.28515625" style="3" customWidth="1"/>
    <col min="10019" max="10019" width="4.140625" style="3" customWidth="1"/>
    <col min="10020" max="10052" width="3.28515625" style="3" customWidth="1"/>
    <col min="10053" max="10053" width="39.7109375" style="3" customWidth="1"/>
    <col min="10054" max="10255" width="8.7109375" style="3"/>
    <col min="10256" max="10256" width="20" style="3" customWidth="1"/>
    <col min="10257" max="10257" width="42.5703125" style="3" customWidth="1"/>
    <col min="10258" max="10265" width="3.28515625" style="3" customWidth="1"/>
    <col min="10266" max="10266" width="4.7109375" style="3" customWidth="1"/>
    <col min="10267" max="10274" width="3.28515625" style="3" customWidth="1"/>
    <col min="10275" max="10275" width="4.140625" style="3" customWidth="1"/>
    <col min="10276" max="10308" width="3.28515625" style="3" customWidth="1"/>
    <col min="10309" max="10309" width="39.7109375" style="3" customWidth="1"/>
    <col min="10310" max="10511" width="8.7109375" style="3"/>
    <col min="10512" max="10512" width="20" style="3" customWidth="1"/>
    <col min="10513" max="10513" width="42.5703125" style="3" customWidth="1"/>
    <col min="10514" max="10521" width="3.28515625" style="3" customWidth="1"/>
    <col min="10522" max="10522" width="4.7109375" style="3" customWidth="1"/>
    <col min="10523" max="10530" width="3.28515625" style="3" customWidth="1"/>
    <col min="10531" max="10531" width="4.140625" style="3" customWidth="1"/>
    <col min="10532" max="10564" width="3.28515625" style="3" customWidth="1"/>
    <col min="10565" max="10565" width="39.7109375" style="3" customWidth="1"/>
    <col min="10566" max="10767" width="8.7109375" style="3"/>
    <col min="10768" max="10768" width="20" style="3" customWidth="1"/>
    <col min="10769" max="10769" width="42.5703125" style="3" customWidth="1"/>
    <col min="10770" max="10777" width="3.28515625" style="3" customWidth="1"/>
    <col min="10778" max="10778" width="4.7109375" style="3" customWidth="1"/>
    <col min="10779" max="10786" width="3.28515625" style="3" customWidth="1"/>
    <col min="10787" max="10787" width="4.140625" style="3" customWidth="1"/>
    <col min="10788" max="10820" width="3.28515625" style="3" customWidth="1"/>
    <col min="10821" max="10821" width="39.7109375" style="3" customWidth="1"/>
    <col min="10822" max="11023" width="8.7109375" style="3"/>
    <col min="11024" max="11024" width="20" style="3" customWidth="1"/>
    <col min="11025" max="11025" width="42.5703125" style="3" customWidth="1"/>
    <col min="11026" max="11033" width="3.28515625" style="3" customWidth="1"/>
    <col min="11034" max="11034" width="4.7109375" style="3" customWidth="1"/>
    <col min="11035" max="11042" width="3.28515625" style="3" customWidth="1"/>
    <col min="11043" max="11043" width="4.140625" style="3" customWidth="1"/>
    <col min="11044" max="11076" width="3.28515625" style="3" customWidth="1"/>
    <col min="11077" max="11077" width="39.7109375" style="3" customWidth="1"/>
    <col min="11078" max="11279" width="8.7109375" style="3"/>
    <col min="11280" max="11280" width="20" style="3" customWidth="1"/>
    <col min="11281" max="11281" width="42.5703125" style="3" customWidth="1"/>
    <col min="11282" max="11289" width="3.28515625" style="3" customWidth="1"/>
    <col min="11290" max="11290" width="4.7109375" style="3" customWidth="1"/>
    <col min="11291" max="11298" width="3.28515625" style="3" customWidth="1"/>
    <col min="11299" max="11299" width="4.140625" style="3" customWidth="1"/>
    <col min="11300" max="11332" width="3.28515625" style="3" customWidth="1"/>
    <col min="11333" max="11333" width="39.7109375" style="3" customWidth="1"/>
    <col min="11334" max="11535" width="8.7109375" style="3"/>
    <col min="11536" max="11536" width="20" style="3" customWidth="1"/>
    <col min="11537" max="11537" width="42.5703125" style="3" customWidth="1"/>
    <col min="11538" max="11545" width="3.28515625" style="3" customWidth="1"/>
    <col min="11546" max="11546" width="4.7109375" style="3" customWidth="1"/>
    <col min="11547" max="11554" width="3.28515625" style="3" customWidth="1"/>
    <col min="11555" max="11555" width="4.140625" style="3" customWidth="1"/>
    <col min="11556" max="11588" width="3.28515625" style="3" customWidth="1"/>
    <col min="11589" max="11589" width="39.7109375" style="3" customWidth="1"/>
    <col min="11590" max="11791" width="8.7109375" style="3"/>
    <col min="11792" max="11792" width="20" style="3" customWidth="1"/>
    <col min="11793" max="11793" width="42.5703125" style="3" customWidth="1"/>
    <col min="11794" max="11801" width="3.28515625" style="3" customWidth="1"/>
    <col min="11802" max="11802" width="4.7109375" style="3" customWidth="1"/>
    <col min="11803" max="11810" width="3.28515625" style="3" customWidth="1"/>
    <col min="11811" max="11811" width="4.140625" style="3" customWidth="1"/>
    <col min="11812" max="11844" width="3.28515625" style="3" customWidth="1"/>
    <col min="11845" max="11845" width="39.7109375" style="3" customWidth="1"/>
    <col min="11846" max="12047" width="8.7109375" style="3"/>
    <col min="12048" max="12048" width="20" style="3" customWidth="1"/>
    <col min="12049" max="12049" width="42.5703125" style="3" customWidth="1"/>
    <col min="12050" max="12057" width="3.28515625" style="3" customWidth="1"/>
    <col min="12058" max="12058" width="4.7109375" style="3" customWidth="1"/>
    <col min="12059" max="12066" width="3.28515625" style="3" customWidth="1"/>
    <col min="12067" max="12067" width="4.140625" style="3" customWidth="1"/>
    <col min="12068" max="12100" width="3.28515625" style="3" customWidth="1"/>
    <col min="12101" max="12101" width="39.7109375" style="3" customWidth="1"/>
    <col min="12102" max="12303" width="8.7109375" style="3"/>
    <col min="12304" max="12304" width="20" style="3" customWidth="1"/>
    <col min="12305" max="12305" width="42.5703125" style="3" customWidth="1"/>
    <col min="12306" max="12313" width="3.28515625" style="3" customWidth="1"/>
    <col min="12314" max="12314" width="4.7109375" style="3" customWidth="1"/>
    <col min="12315" max="12322" width="3.28515625" style="3" customWidth="1"/>
    <col min="12323" max="12323" width="4.140625" style="3" customWidth="1"/>
    <col min="12324" max="12356" width="3.28515625" style="3" customWidth="1"/>
    <col min="12357" max="12357" width="39.7109375" style="3" customWidth="1"/>
    <col min="12358" max="12559" width="8.7109375" style="3"/>
    <col min="12560" max="12560" width="20" style="3" customWidth="1"/>
    <col min="12561" max="12561" width="42.5703125" style="3" customWidth="1"/>
    <col min="12562" max="12569" width="3.28515625" style="3" customWidth="1"/>
    <col min="12570" max="12570" width="4.7109375" style="3" customWidth="1"/>
    <col min="12571" max="12578" width="3.28515625" style="3" customWidth="1"/>
    <col min="12579" max="12579" width="4.140625" style="3" customWidth="1"/>
    <col min="12580" max="12612" width="3.28515625" style="3" customWidth="1"/>
    <col min="12613" max="12613" width="39.7109375" style="3" customWidth="1"/>
    <col min="12614" max="12815" width="8.7109375" style="3"/>
    <col min="12816" max="12816" width="20" style="3" customWidth="1"/>
    <col min="12817" max="12817" width="42.5703125" style="3" customWidth="1"/>
    <col min="12818" max="12825" width="3.28515625" style="3" customWidth="1"/>
    <col min="12826" max="12826" width="4.7109375" style="3" customWidth="1"/>
    <col min="12827" max="12834" width="3.28515625" style="3" customWidth="1"/>
    <col min="12835" max="12835" width="4.140625" style="3" customWidth="1"/>
    <col min="12836" max="12868" width="3.28515625" style="3" customWidth="1"/>
    <col min="12869" max="12869" width="39.7109375" style="3" customWidth="1"/>
    <col min="12870" max="13071" width="8.7109375" style="3"/>
    <col min="13072" max="13072" width="20" style="3" customWidth="1"/>
    <col min="13073" max="13073" width="42.5703125" style="3" customWidth="1"/>
    <col min="13074" max="13081" width="3.28515625" style="3" customWidth="1"/>
    <col min="13082" max="13082" width="4.7109375" style="3" customWidth="1"/>
    <col min="13083" max="13090" width="3.28515625" style="3" customWidth="1"/>
    <col min="13091" max="13091" width="4.140625" style="3" customWidth="1"/>
    <col min="13092" max="13124" width="3.28515625" style="3" customWidth="1"/>
    <col min="13125" max="13125" width="39.7109375" style="3" customWidth="1"/>
    <col min="13126" max="13327" width="8.7109375" style="3"/>
    <col min="13328" max="13328" width="20" style="3" customWidth="1"/>
    <col min="13329" max="13329" width="42.5703125" style="3" customWidth="1"/>
    <col min="13330" max="13337" width="3.28515625" style="3" customWidth="1"/>
    <col min="13338" max="13338" width="4.7109375" style="3" customWidth="1"/>
    <col min="13339" max="13346" width="3.28515625" style="3" customWidth="1"/>
    <col min="13347" max="13347" width="4.140625" style="3" customWidth="1"/>
    <col min="13348" max="13380" width="3.28515625" style="3" customWidth="1"/>
    <col min="13381" max="13381" width="39.7109375" style="3" customWidth="1"/>
    <col min="13382" max="13583" width="8.7109375" style="3"/>
    <col min="13584" max="13584" width="20" style="3" customWidth="1"/>
    <col min="13585" max="13585" width="42.5703125" style="3" customWidth="1"/>
    <col min="13586" max="13593" width="3.28515625" style="3" customWidth="1"/>
    <col min="13594" max="13594" width="4.7109375" style="3" customWidth="1"/>
    <col min="13595" max="13602" width="3.28515625" style="3" customWidth="1"/>
    <col min="13603" max="13603" width="4.140625" style="3" customWidth="1"/>
    <col min="13604" max="13636" width="3.28515625" style="3" customWidth="1"/>
    <col min="13637" max="13637" width="39.7109375" style="3" customWidth="1"/>
    <col min="13638" max="13839" width="8.7109375" style="3"/>
    <col min="13840" max="13840" width="20" style="3" customWidth="1"/>
    <col min="13841" max="13841" width="42.5703125" style="3" customWidth="1"/>
    <col min="13842" max="13849" width="3.28515625" style="3" customWidth="1"/>
    <col min="13850" max="13850" width="4.7109375" style="3" customWidth="1"/>
    <col min="13851" max="13858" width="3.28515625" style="3" customWidth="1"/>
    <col min="13859" max="13859" width="4.140625" style="3" customWidth="1"/>
    <col min="13860" max="13892" width="3.28515625" style="3" customWidth="1"/>
    <col min="13893" max="13893" width="39.7109375" style="3" customWidth="1"/>
    <col min="13894" max="14095" width="8.7109375" style="3"/>
    <col min="14096" max="14096" width="20" style="3" customWidth="1"/>
    <col min="14097" max="14097" width="42.5703125" style="3" customWidth="1"/>
    <col min="14098" max="14105" width="3.28515625" style="3" customWidth="1"/>
    <col min="14106" max="14106" width="4.7109375" style="3" customWidth="1"/>
    <col min="14107" max="14114" width="3.28515625" style="3" customWidth="1"/>
    <col min="14115" max="14115" width="4.140625" style="3" customWidth="1"/>
    <col min="14116" max="14148" width="3.28515625" style="3" customWidth="1"/>
    <col min="14149" max="14149" width="39.7109375" style="3" customWidth="1"/>
    <col min="14150" max="14351" width="8.7109375" style="3"/>
    <col min="14352" max="14352" width="20" style="3" customWidth="1"/>
    <col min="14353" max="14353" width="42.5703125" style="3" customWidth="1"/>
    <col min="14354" max="14361" width="3.28515625" style="3" customWidth="1"/>
    <col min="14362" max="14362" width="4.7109375" style="3" customWidth="1"/>
    <col min="14363" max="14370" width="3.28515625" style="3" customWidth="1"/>
    <col min="14371" max="14371" width="4.140625" style="3" customWidth="1"/>
    <col min="14372" max="14404" width="3.28515625" style="3" customWidth="1"/>
    <col min="14405" max="14405" width="39.7109375" style="3" customWidth="1"/>
    <col min="14406" max="14607" width="8.7109375" style="3"/>
    <col min="14608" max="14608" width="20" style="3" customWidth="1"/>
    <col min="14609" max="14609" width="42.5703125" style="3" customWidth="1"/>
    <col min="14610" max="14617" width="3.28515625" style="3" customWidth="1"/>
    <col min="14618" max="14618" width="4.7109375" style="3" customWidth="1"/>
    <col min="14619" max="14626" width="3.28515625" style="3" customWidth="1"/>
    <col min="14627" max="14627" width="4.140625" style="3" customWidth="1"/>
    <col min="14628" max="14660" width="3.28515625" style="3" customWidth="1"/>
    <col min="14661" max="14661" width="39.7109375" style="3" customWidth="1"/>
    <col min="14662" max="14863" width="8.7109375" style="3"/>
    <col min="14864" max="14864" width="20" style="3" customWidth="1"/>
    <col min="14865" max="14865" width="42.5703125" style="3" customWidth="1"/>
    <col min="14866" max="14873" width="3.28515625" style="3" customWidth="1"/>
    <col min="14874" max="14874" width="4.7109375" style="3" customWidth="1"/>
    <col min="14875" max="14882" width="3.28515625" style="3" customWidth="1"/>
    <col min="14883" max="14883" width="4.140625" style="3" customWidth="1"/>
    <col min="14884" max="14916" width="3.28515625" style="3" customWidth="1"/>
    <col min="14917" max="14917" width="39.7109375" style="3" customWidth="1"/>
    <col min="14918" max="15119" width="8.7109375" style="3"/>
    <col min="15120" max="15120" width="20" style="3" customWidth="1"/>
    <col min="15121" max="15121" width="42.5703125" style="3" customWidth="1"/>
    <col min="15122" max="15129" width="3.28515625" style="3" customWidth="1"/>
    <col min="15130" max="15130" width="4.7109375" style="3" customWidth="1"/>
    <col min="15131" max="15138" width="3.28515625" style="3" customWidth="1"/>
    <col min="15139" max="15139" width="4.140625" style="3" customWidth="1"/>
    <col min="15140" max="15172" width="3.28515625" style="3" customWidth="1"/>
    <col min="15173" max="15173" width="39.7109375" style="3" customWidth="1"/>
    <col min="15174" max="15375" width="8.7109375" style="3"/>
    <col min="15376" max="15376" width="20" style="3" customWidth="1"/>
    <col min="15377" max="15377" width="42.5703125" style="3" customWidth="1"/>
    <col min="15378" max="15385" width="3.28515625" style="3" customWidth="1"/>
    <col min="15386" max="15386" width="4.7109375" style="3" customWidth="1"/>
    <col min="15387" max="15394" width="3.28515625" style="3" customWidth="1"/>
    <col min="15395" max="15395" width="4.140625" style="3" customWidth="1"/>
    <col min="15396" max="15428" width="3.28515625" style="3" customWidth="1"/>
    <col min="15429" max="15429" width="39.7109375" style="3" customWidth="1"/>
    <col min="15430" max="15631" width="8.7109375" style="3"/>
    <col min="15632" max="15632" width="20" style="3" customWidth="1"/>
    <col min="15633" max="15633" width="42.5703125" style="3" customWidth="1"/>
    <col min="15634" max="15641" width="3.28515625" style="3" customWidth="1"/>
    <col min="15642" max="15642" width="4.7109375" style="3" customWidth="1"/>
    <col min="15643" max="15650" width="3.28515625" style="3" customWidth="1"/>
    <col min="15651" max="15651" width="4.140625" style="3" customWidth="1"/>
    <col min="15652" max="15684" width="3.28515625" style="3" customWidth="1"/>
    <col min="15685" max="15685" width="39.7109375" style="3" customWidth="1"/>
    <col min="15686" max="15887" width="8.7109375" style="3"/>
    <col min="15888" max="15888" width="20" style="3" customWidth="1"/>
    <col min="15889" max="15889" width="42.5703125" style="3" customWidth="1"/>
    <col min="15890" max="15897" width="3.28515625" style="3" customWidth="1"/>
    <col min="15898" max="15898" width="4.7109375" style="3" customWidth="1"/>
    <col min="15899" max="15906" width="3.28515625" style="3" customWidth="1"/>
    <col min="15907" max="15907" width="4.140625" style="3" customWidth="1"/>
    <col min="15908" max="15940" width="3.28515625" style="3" customWidth="1"/>
    <col min="15941" max="15941" width="39.7109375" style="3" customWidth="1"/>
    <col min="15942" max="16143" width="8.7109375" style="3"/>
    <col min="16144" max="16144" width="20" style="3" customWidth="1"/>
    <col min="16145" max="16145" width="42.5703125" style="3" customWidth="1"/>
    <col min="16146" max="16153" width="3.28515625" style="3" customWidth="1"/>
    <col min="16154" max="16154" width="4.7109375" style="3" customWidth="1"/>
    <col min="16155" max="16162" width="3.28515625" style="3" customWidth="1"/>
    <col min="16163" max="16163" width="4.140625" style="3" customWidth="1"/>
    <col min="16164" max="16196" width="3.28515625" style="3" customWidth="1"/>
    <col min="16197" max="16197" width="39.7109375" style="3" customWidth="1"/>
    <col min="16198" max="16384" width="8.7109375" style="3"/>
  </cols>
  <sheetData>
    <row r="1" spans="1:80" ht="22.9" customHeight="1" thickBot="1">
      <c r="A1" s="17"/>
      <c r="B1" s="17"/>
      <c r="C1" s="17"/>
      <c r="D1" s="17"/>
      <c r="E1" s="17"/>
      <c r="F1" s="17" t="s">
        <v>39</v>
      </c>
      <c r="G1" s="17"/>
      <c r="H1" s="17"/>
      <c r="I1" s="17"/>
      <c r="J1" s="17"/>
      <c r="K1" s="17"/>
      <c r="L1" s="17"/>
      <c r="M1" s="18"/>
      <c r="N1" s="18"/>
      <c r="O1" s="18"/>
      <c r="P1" s="18"/>
      <c r="Q1" s="18"/>
      <c r="R1" s="8" t="s">
        <v>30</v>
      </c>
      <c r="S1" s="8"/>
      <c r="T1" s="8"/>
      <c r="U1" s="17"/>
      <c r="V1" s="8"/>
      <c r="W1" s="8"/>
      <c r="X1" s="8"/>
      <c r="Y1" s="8"/>
      <c r="Z1" s="8"/>
      <c r="AA1" s="8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34" t="s">
        <v>215</v>
      </c>
      <c r="BH1" s="34"/>
    </row>
    <row r="2" spans="1:80" ht="27" customHeight="1" thickBo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  <c r="N2" s="18"/>
      <c r="O2" s="18"/>
      <c r="P2" s="18"/>
      <c r="Q2" s="18"/>
      <c r="R2" s="21" t="s">
        <v>32</v>
      </c>
      <c r="S2" s="22"/>
      <c r="T2" s="22"/>
      <c r="U2" s="23"/>
      <c r="V2" s="22"/>
      <c r="W2" s="22"/>
      <c r="X2" s="22"/>
      <c r="Y2" s="22"/>
      <c r="Z2" s="22"/>
      <c r="AA2" s="22"/>
      <c r="AB2" s="24"/>
      <c r="AC2" s="8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</row>
    <row r="3" spans="1:80" ht="21" thickBot="1">
      <c r="A3" s="17"/>
      <c r="B3" s="17"/>
      <c r="C3" s="17"/>
      <c r="D3" s="8"/>
      <c r="E3" s="8"/>
      <c r="F3" s="8"/>
      <c r="G3" s="8"/>
      <c r="H3" s="8"/>
      <c r="I3" s="8"/>
      <c r="J3" s="8"/>
      <c r="K3" s="8"/>
      <c r="L3" s="8"/>
      <c r="M3" s="19"/>
      <c r="N3" s="19"/>
      <c r="O3" s="19"/>
      <c r="P3" s="19"/>
      <c r="Q3" s="19"/>
      <c r="R3" s="8" t="s">
        <v>33</v>
      </c>
      <c r="S3" s="8"/>
      <c r="T3" s="8"/>
      <c r="U3" s="17"/>
      <c r="V3" s="8"/>
      <c r="W3" s="8"/>
      <c r="X3" s="8"/>
      <c r="Y3" s="8"/>
      <c r="Z3" s="8"/>
      <c r="AA3" s="8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O3" s="17"/>
      <c r="AP3" s="8" t="s">
        <v>34</v>
      </c>
      <c r="AQ3" s="17"/>
      <c r="AR3" s="17"/>
      <c r="AS3" s="17"/>
      <c r="AT3" s="17"/>
      <c r="AU3" s="17"/>
      <c r="AV3" s="17" t="s">
        <v>35</v>
      </c>
      <c r="AW3" s="20"/>
      <c r="AX3" s="17"/>
      <c r="AY3" s="17" t="s">
        <v>36</v>
      </c>
      <c r="AZ3" s="17"/>
      <c r="BA3" s="17"/>
      <c r="BB3" s="17"/>
      <c r="BC3" s="17"/>
      <c r="BD3" s="17"/>
      <c r="BE3" s="17"/>
      <c r="BF3" s="17"/>
      <c r="BG3" s="17"/>
      <c r="BH3" s="17"/>
      <c r="BI3" s="1"/>
      <c r="BJ3" s="1"/>
      <c r="BK3" s="1"/>
      <c r="BN3" s="6"/>
    </row>
    <row r="4" spans="1:80" ht="27" customHeight="1" thickBot="1">
      <c r="A4" s="17"/>
      <c r="B4" s="17"/>
      <c r="C4" s="17"/>
      <c r="D4" s="8"/>
      <c r="E4" s="8"/>
      <c r="F4" s="8"/>
      <c r="G4" s="8"/>
      <c r="H4" s="8"/>
      <c r="I4" s="8"/>
      <c r="J4" s="8"/>
      <c r="K4" s="8"/>
      <c r="L4" s="8"/>
      <c r="M4" s="19"/>
      <c r="N4" s="19"/>
      <c r="O4" s="19"/>
      <c r="P4" s="19"/>
      <c r="Q4" s="19"/>
      <c r="R4" s="21" t="s">
        <v>216</v>
      </c>
      <c r="S4" s="22"/>
      <c r="T4" s="22"/>
      <c r="U4" s="22"/>
      <c r="V4" s="22"/>
      <c r="W4" s="22"/>
      <c r="X4" s="22"/>
      <c r="Y4" s="22"/>
      <c r="Z4" s="22"/>
      <c r="AA4" s="22"/>
      <c r="AB4" s="24"/>
      <c r="AC4" s="8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 t="s">
        <v>38</v>
      </c>
      <c r="AW4" s="20" t="s">
        <v>39</v>
      </c>
      <c r="AX4" s="17"/>
      <c r="AY4" s="21"/>
      <c r="AZ4" s="23"/>
      <c r="BA4" s="23"/>
      <c r="BB4" s="23"/>
      <c r="BC4" s="23"/>
      <c r="BD4" s="23"/>
      <c r="BE4" s="23"/>
      <c r="BF4" s="23"/>
      <c r="BG4" s="23"/>
      <c r="BH4" s="25"/>
      <c r="BI4" s="1"/>
      <c r="BJ4" s="1"/>
      <c r="BK4" s="1"/>
    </row>
    <row r="5" spans="1:80" ht="21.6" customHeight="1" thickBot="1">
      <c r="A5" s="17"/>
      <c r="B5" s="17"/>
      <c r="C5" s="17"/>
      <c r="D5" s="8"/>
      <c r="E5" s="8"/>
      <c r="F5" s="8"/>
      <c r="G5" s="8"/>
      <c r="H5" s="8"/>
      <c r="I5" s="8"/>
      <c r="J5" s="8"/>
      <c r="K5" s="8"/>
      <c r="L5" s="8"/>
      <c r="M5" s="19"/>
      <c r="N5" s="19"/>
      <c r="O5" s="19"/>
      <c r="P5" s="19"/>
      <c r="Q5" s="18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8"/>
      <c r="AG5" s="8"/>
      <c r="AH5" s="8"/>
      <c r="AI5" s="8"/>
      <c r="AJ5" s="8"/>
      <c r="AK5" s="8"/>
      <c r="AL5" s="8"/>
      <c r="AM5" s="8"/>
      <c r="AN5" s="17"/>
      <c r="AO5" s="17"/>
      <c r="AP5" s="17"/>
      <c r="AQ5" s="17"/>
      <c r="AS5" s="8" t="s">
        <v>40</v>
      </c>
      <c r="AT5" s="17"/>
      <c r="AU5" s="17"/>
      <c r="AV5" s="17" t="s">
        <v>35</v>
      </c>
      <c r="AW5" s="20"/>
      <c r="AX5" s="17"/>
      <c r="AY5" s="8" t="s">
        <v>41</v>
      </c>
      <c r="AZ5" s="17"/>
      <c r="BA5" s="17"/>
      <c r="BB5" s="17"/>
      <c r="BC5" s="17"/>
      <c r="BD5" s="17"/>
      <c r="BE5" s="17"/>
      <c r="BF5" s="17"/>
      <c r="BG5" s="17"/>
      <c r="BH5" s="17"/>
      <c r="BI5" s="1"/>
      <c r="BJ5" s="1"/>
      <c r="BK5" s="1"/>
      <c r="BN5" s="4"/>
    </row>
    <row r="6" spans="1:80" ht="27" customHeight="1" thickBot="1">
      <c r="A6" s="17"/>
      <c r="B6" s="17"/>
      <c r="C6" s="253" t="s">
        <v>42</v>
      </c>
      <c r="D6" s="254"/>
      <c r="E6" s="254"/>
      <c r="F6" s="255"/>
      <c r="G6" s="26" t="str">
        <f>'Controller A(2)'!G6</f>
        <v>Amazon</v>
      </c>
      <c r="H6" s="23"/>
      <c r="I6" s="23"/>
      <c r="J6" s="23"/>
      <c r="K6" s="23"/>
      <c r="L6" s="23"/>
      <c r="M6" s="23"/>
      <c r="N6" s="23"/>
      <c r="O6" s="23"/>
      <c r="P6" s="23"/>
      <c r="Q6" s="25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 t="s">
        <v>38</v>
      </c>
      <c r="AW6" s="20" t="s">
        <v>39</v>
      </c>
      <c r="AX6" s="17"/>
      <c r="AY6" s="21"/>
      <c r="AZ6" s="22"/>
      <c r="BA6" s="22"/>
      <c r="BB6" s="22"/>
      <c r="BC6" s="22"/>
      <c r="BD6" s="22"/>
      <c r="BE6" s="22"/>
      <c r="BF6" s="22"/>
      <c r="BG6" s="22"/>
      <c r="BH6" s="24"/>
      <c r="BI6" s="1"/>
      <c r="BJ6" s="1"/>
      <c r="BK6" s="1"/>
      <c r="BL6" s="1"/>
      <c r="BN6" s="4"/>
    </row>
    <row r="7" spans="1:80" ht="28.9" customHeight="1" thickBot="1">
      <c r="A7" s="17"/>
      <c r="B7" s="17"/>
      <c r="C7" s="253" t="s">
        <v>44</v>
      </c>
      <c r="D7" s="254"/>
      <c r="E7" s="254"/>
      <c r="F7" s="255"/>
      <c r="G7" s="26" t="str">
        <f>'Controller A(2)'!G7</f>
        <v>2956 Main Street</v>
      </c>
      <c r="H7" s="23"/>
      <c r="I7" s="23"/>
      <c r="J7" s="23"/>
      <c r="K7" s="23"/>
      <c r="L7" s="23"/>
      <c r="M7" s="23"/>
      <c r="N7" s="23"/>
      <c r="O7" s="23"/>
      <c r="P7" s="23"/>
      <c r="Q7" s="25"/>
      <c r="R7" s="8" t="s">
        <v>46</v>
      </c>
      <c r="S7" s="8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256" t="s">
        <v>47</v>
      </c>
      <c r="AQ7" s="257"/>
      <c r="AR7" s="257"/>
      <c r="AS7" s="257"/>
      <c r="AT7" s="258"/>
      <c r="AU7" s="8"/>
      <c r="AV7" s="8"/>
      <c r="AW7" s="17"/>
      <c r="AX7" s="17"/>
      <c r="AY7" s="17"/>
      <c r="AZ7" s="17"/>
      <c r="BA7" s="27"/>
      <c r="BB7" s="27"/>
      <c r="BC7" s="17"/>
      <c r="BD7" s="27"/>
      <c r="BE7" s="27"/>
      <c r="BF7" s="27"/>
      <c r="BG7" s="27"/>
      <c r="BH7" s="27"/>
      <c r="BI7" s="1"/>
      <c r="BJ7" s="1"/>
      <c r="BK7" s="1"/>
      <c r="BL7" s="1"/>
    </row>
    <row r="8" spans="1:80" ht="27" customHeight="1" thickBot="1">
      <c r="A8" s="17"/>
      <c r="B8" s="17"/>
      <c r="C8" s="262" t="s">
        <v>48</v>
      </c>
      <c r="D8" s="263"/>
      <c r="E8" s="263"/>
      <c r="F8" s="264"/>
      <c r="G8" s="26" t="str">
        <f>'Controller A(2)'!G8</f>
        <v>Buda, Texas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1" t="s">
        <v>50</v>
      </c>
      <c r="S8" s="22" t="s">
        <v>217</v>
      </c>
      <c r="T8" s="22"/>
      <c r="U8" s="22"/>
      <c r="V8" s="240"/>
      <c r="W8" s="23"/>
      <c r="X8" s="23"/>
      <c r="Y8" s="23"/>
      <c r="Z8" s="23"/>
      <c r="AA8" s="23"/>
      <c r="AB8" s="23"/>
      <c r="AC8" s="47" t="s">
        <v>52</v>
      </c>
      <c r="AD8" s="7"/>
      <c r="AE8" s="48"/>
      <c r="AF8" s="48"/>
      <c r="AG8" s="48"/>
      <c r="AH8" s="48"/>
      <c r="AI8" s="48"/>
      <c r="AJ8" s="48"/>
      <c r="AK8" s="48"/>
      <c r="AL8" s="48"/>
      <c r="AM8" s="32"/>
      <c r="AN8" s="17"/>
      <c r="AO8" s="17"/>
      <c r="AP8" s="259"/>
      <c r="AQ8" s="260"/>
      <c r="AR8" s="260"/>
      <c r="AS8" s="260"/>
      <c r="AT8" s="261"/>
      <c r="AU8" s="23" t="s">
        <v>54</v>
      </c>
      <c r="AV8" s="24"/>
      <c r="AW8" s="30" t="s">
        <v>33</v>
      </c>
      <c r="AX8" s="31"/>
      <c r="AY8" s="32"/>
      <c r="AZ8" s="27"/>
      <c r="BA8" s="27"/>
      <c r="BB8" s="27"/>
      <c r="BC8" s="27"/>
      <c r="BD8" s="27"/>
      <c r="BE8" s="27"/>
      <c r="BF8" s="27"/>
      <c r="BG8" s="27"/>
      <c r="BH8" s="27"/>
      <c r="BI8" s="1"/>
      <c r="BJ8" s="1"/>
      <c r="BK8" s="1"/>
      <c r="BM8" s="1"/>
      <c r="BX8" s="1"/>
    </row>
    <row r="9" spans="1:80" ht="27" customHeight="1" thickBot="1">
      <c r="A9" s="17"/>
      <c r="B9" s="17"/>
      <c r="C9" s="253" t="s">
        <v>4</v>
      </c>
      <c r="D9" s="254"/>
      <c r="E9" s="254"/>
      <c r="F9" s="255"/>
      <c r="G9" s="26"/>
      <c r="H9" s="23"/>
      <c r="I9" s="23"/>
      <c r="J9" s="23"/>
      <c r="K9" s="23"/>
      <c r="L9" s="23"/>
      <c r="M9" s="23"/>
      <c r="N9" s="23"/>
      <c r="O9" s="23"/>
      <c r="P9" s="23"/>
      <c r="Q9" s="23"/>
      <c r="R9" s="21" t="s">
        <v>50</v>
      </c>
      <c r="S9" s="22" t="s">
        <v>218</v>
      </c>
      <c r="T9" s="22"/>
      <c r="U9" s="22"/>
      <c r="V9" s="22"/>
      <c r="W9" s="23"/>
      <c r="X9" s="23"/>
      <c r="Y9" s="23"/>
      <c r="Z9" s="23"/>
      <c r="AA9" s="23"/>
      <c r="AB9" s="23"/>
      <c r="AC9" s="21" t="s">
        <v>52</v>
      </c>
      <c r="AD9" s="44"/>
      <c r="AE9" s="23"/>
      <c r="AF9" s="22"/>
      <c r="AG9" s="22"/>
      <c r="AH9" s="22"/>
      <c r="AI9" s="23"/>
      <c r="AJ9" s="22"/>
      <c r="AK9" s="22"/>
      <c r="AL9" s="22"/>
      <c r="AM9" s="24"/>
      <c r="AN9" s="17"/>
      <c r="AO9" s="17"/>
      <c r="AP9" s="49">
        <v>1</v>
      </c>
      <c r="AQ9" s="45" t="s">
        <v>56</v>
      </c>
      <c r="AR9" s="50"/>
      <c r="AS9" s="50"/>
      <c r="AT9" s="46"/>
      <c r="AU9" s="21" t="s">
        <v>57</v>
      </c>
      <c r="AV9" s="22"/>
      <c r="AW9" s="26" t="s">
        <v>219</v>
      </c>
      <c r="AX9" s="23"/>
      <c r="AY9" s="22"/>
      <c r="AZ9" s="23"/>
      <c r="BA9" s="23"/>
      <c r="BB9" s="23"/>
      <c r="BC9" s="23"/>
      <c r="BD9" s="23"/>
      <c r="BE9" s="23"/>
      <c r="BF9" s="23"/>
      <c r="BG9" s="23"/>
      <c r="BH9" s="25"/>
      <c r="BI9" s="1"/>
      <c r="BJ9" s="1"/>
      <c r="BK9" s="1"/>
      <c r="BL9" s="1"/>
      <c r="BM9" s="1"/>
    </row>
    <row r="10" spans="1:80" ht="27" customHeight="1" thickBot="1">
      <c r="A10" s="17"/>
      <c r="B10" s="17"/>
      <c r="C10" s="253" t="s">
        <v>2</v>
      </c>
      <c r="D10" s="254"/>
      <c r="E10" s="254"/>
      <c r="F10" s="255"/>
      <c r="G10" s="221"/>
      <c r="H10" s="67"/>
      <c r="I10" s="67"/>
      <c r="J10" s="67"/>
      <c r="K10" s="23"/>
      <c r="L10" s="23"/>
      <c r="M10" s="23"/>
      <c r="N10" s="23"/>
      <c r="O10" s="23"/>
      <c r="P10" s="23"/>
      <c r="Q10" s="25"/>
      <c r="R10" s="17"/>
      <c r="S10" s="17"/>
      <c r="T10" s="8"/>
      <c r="U10" s="8"/>
      <c r="V10" s="8"/>
      <c r="W10" s="17"/>
      <c r="X10" s="17"/>
      <c r="Y10" s="17"/>
      <c r="Z10" s="17"/>
      <c r="AA10" s="17"/>
      <c r="AB10" s="17"/>
      <c r="AC10" s="17"/>
      <c r="AE10" s="8"/>
      <c r="AF10" s="8"/>
      <c r="AG10" s="8"/>
      <c r="AH10" s="8"/>
      <c r="AI10" s="17"/>
      <c r="AJ10" s="8"/>
      <c r="AK10" s="8"/>
      <c r="AL10" s="8"/>
      <c r="AM10" s="8"/>
      <c r="AN10" s="17"/>
      <c r="AO10" s="17"/>
      <c r="AP10" s="33">
        <v>2</v>
      </c>
      <c r="AQ10" s="21"/>
      <c r="AR10" s="22"/>
      <c r="AS10" s="22"/>
      <c r="AT10" s="25"/>
      <c r="AU10" s="21"/>
      <c r="AV10" s="22"/>
      <c r="AW10" s="26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5"/>
      <c r="BI10" s="1"/>
      <c r="BJ10" s="1"/>
      <c r="BK10" s="1"/>
      <c r="BL10" s="1"/>
      <c r="BM10" s="1"/>
      <c r="BX10" s="1"/>
    </row>
    <row r="11" spans="1:80" ht="26.65" customHeight="1" thickBot="1">
      <c r="A11" s="17"/>
      <c r="B11" s="17"/>
      <c r="C11" s="253" t="s">
        <v>60</v>
      </c>
      <c r="D11" s="254"/>
      <c r="E11" s="254"/>
      <c r="F11" s="255"/>
      <c r="G11" s="26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1" t="s">
        <v>62</v>
      </c>
      <c r="S11" s="22" t="s">
        <v>220</v>
      </c>
      <c r="T11" s="22"/>
      <c r="U11" s="22"/>
      <c r="V11" s="22"/>
      <c r="W11" s="22"/>
      <c r="X11" s="22"/>
      <c r="Y11" s="23"/>
      <c r="Z11" s="22"/>
      <c r="AA11" s="22"/>
      <c r="AB11" s="25"/>
      <c r="AC11" s="21" t="s">
        <v>64</v>
      </c>
      <c r="AD11" s="44"/>
      <c r="AE11" s="22"/>
      <c r="AF11" s="22"/>
      <c r="AG11" s="22"/>
      <c r="AH11" s="22"/>
      <c r="AI11" s="23"/>
      <c r="AJ11" s="22"/>
      <c r="AK11" s="22"/>
      <c r="AL11" s="22"/>
      <c r="AM11" s="24"/>
      <c r="AN11" s="17"/>
      <c r="AO11" s="17"/>
      <c r="AP11" s="33">
        <v>3</v>
      </c>
      <c r="AQ11" s="21"/>
      <c r="AR11" s="22"/>
      <c r="AS11" s="22"/>
      <c r="AT11" s="25"/>
      <c r="AU11" s="21"/>
      <c r="AV11" s="22"/>
      <c r="AW11" s="26"/>
      <c r="AX11" s="23"/>
      <c r="AY11" s="23"/>
      <c r="AZ11" s="22"/>
      <c r="BA11" s="23"/>
      <c r="BB11" s="23"/>
      <c r="BC11" s="23"/>
      <c r="BD11" s="23"/>
      <c r="BE11" s="23"/>
      <c r="BF11" s="23"/>
      <c r="BG11" s="23"/>
      <c r="BH11" s="25"/>
      <c r="BI11" s="1"/>
      <c r="BJ11" s="1"/>
      <c r="BK11" s="1"/>
      <c r="BL11" s="1"/>
      <c r="BM11" s="1"/>
      <c r="BN11" s="1"/>
    </row>
    <row r="12" spans="1:80" ht="27" customHeight="1" thickBot="1">
      <c r="A12" s="8"/>
      <c r="B12" s="17"/>
      <c r="C12" s="253" t="s">
        <v>65</v>
      </c>
      <c r="D12" s="254"/>
      <c r="E12" s="254"/>
      <c r="F12" s="255"/>
      <c r="G12" s="21" t="str">
        <f>'Controller A(2)'!G12</f>
        <v>Wizard Herrera/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1" t="s">
        <v>62</v>
      </c>
      <c r="S12" s="22" t="s">
        <v>221</v>
      </c>
      <c r="T12" s="22"/>
      <c r="U12" s="22"/>
      <c r="V12" s="22"/>
      <c r="W12" s="22"/>
      <c r="X12" s="22"/>
      <c r="Y12" s="23"/>
      <c r="Z12" s="22"/>
      <c r="AA12" s="22"/>
      <c r="AB12" s="25"/>
      <c r="AC12" s="21" t="s">
        <v>64</v>
      </c>
      <c r="AD12" s="44"/>
      <c r="AE12" s="22"/>
      <c r="AF12" s="22"/>
      <c r="AG12" s="22"/>
      <c r="AH12" s="22"/>
      <c r="AI12" s="23"/>
      <c r="AJ12" s="22"/>
      <c r="AK12" s="22"/>
      <c r="AL12" s="22"/>
      <c r="AM12" s="24"/>
      <c r="AN12" s="17"/>
      <c r="AO12" s="17"/>
      <c r="AP12" s="33">
        <v>4</v>
      </c>
      <c r="AQ12" s="21"/>
      <c r="AR12" s="22"/>
      <c r="AS12" s="22"/>
      <c r="AT12" s="25"/>
      <c r="AU12" s="21"/>
      <c r="AV12" s="22"/>
      <c r="AW12" s="26"/>
      <c r="AX12" s="23"/>
      <c r="AY12" s="23"/>
      <c r="AZ12" s="22"/>
      <c r="BA12" s="22"/>
      <c r="BB12" s="22"/>
      <c r="BC12" s="22"/>
      <c r="BD12" s="22"/>
      <c r="BE12" s="22"/>
      <c r="BF12" s="22"/>
      <c r="BG12" s="22"/>
      <c r="BH12" s="24"/>
      <c r="BI12" s="1"/>
      <c r="BJ12" s="1"/>
      <c r="BK12" s="1"/>
      <c r="BL12" s="1"/>
      <c r="BM12" s="1"/>
      <c r="BN12" s="1"/>
    </row>
    <row r="13" spans="1:80" ht="22.9" customHeight="1">
      <c r="A13" s="238"/>
      <c r="B13" s="91"/>
      <c r="C13" s="51"/>
      <c r="D13" s="31"/>
      <c r="E13" s="31"/>
      <c r="F13" s="31"/>
      <c r="G13" s="31"/>
      <c r="H13" s="31"/>
      <c r="I13" s="52"/>
      <c r="J13" s="47"/>
      <c r="K13" s="31"/>
      <c r="L13" s="52"/>
      <c r="M13" s="51"/>
      <c r="N13" s="53"/>
      <c r="O13" s="53"/>
      <c r="P13" s="53"/>
      <c r="Q13" s="54"/>
      <c r="R13" s="55" t="s">
        <v>68</v>
      </c>
      <c r="S13" s="56"/>
      <c r="T13" s="31"/>
      <c r="U13" s="31"/>
      <c r="V13" s="31"/>
      <c r="W13" s="48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55" t="s">
        <v>69</v>
      </c>
      <c r="AS13" s="56"/>
      <c r="AT13" s="31"/>
      <c r="AU13" s="31"/>
      <c r="AV13" s="31"/>
      <c r="AW13" s="31"/>
      <c r="AX13" s="31"/>
      <c r="AY13" s="31"/>
      <c r="AZ13" s="56"/>
      <c r="BA13" s="48"/>
      <c r="BB13" s="31"/>
      <c r="BC13" s="31"/>
      <c r="BD13" s="31"/>
      <c r="BE13" s="31"/>
      <c r="BF13" s="31"/>
      <c r="BG13" s="52"/>
      <c r="BH13" s="32"/>
      <c r="BI13" s="1"/>
      <c r="BJ13" s="1"/>
      <c r="BK13" s="1"/>
      <c r="BL13" s="1"/>
      <c r="BN13" s="1"/>
      <c r="BO13" s="1"/>
      <c r="BP13" s="1"/>
      <c r="BQ13" s="1"/>
      <c r="BR13" s="1"/>
      <c r="BS13" s="1"/>
    </row>
    <row r="14" spans="1:80" ht="179.65" customHeight="1" thickBot="1">
      <c r="A14" s="239" t="s">
        <v>70</v>
      </c>
      <c r="B14" s="92" t="s">
        <v>71</v>
      </c>
      <c r="C14" s="57" t="s">
        <v>72</v>
      </c>
      <c r="D14" s="58" t="s">
        <v>73</v>
      </c>
      <c r="E14" s="58" t="s">
        <v>74</v>
      </c>
      <c r="F14" s="58" t="s">
        <v>75</v>
      </c>
      <c r="G14" s="58" t="s">
        <v>76</v>
      </c>
      <c r="H14" s="58" t="s">
        <v>77</v>
      </c>
      <c r="I14" s="59" t="s">
        <v>78</v>
      </c>
      <c r="J14" s="57" t="s">
        <v>79</v>
      </c>
      <c r="K14" s="58" t="s">
        <v>80</v>
      </c>
      <c r="L14" s="59" t="s">
        <v>81</v>
      </c>
      <c r="M14" s="57" t="s">
        <v>82</v>
      </c>
      <c r="N14" s="58" t="s">
        <v>83</v>
      </c>
      <c r="O14" s="58" t="s">
        <v>84</v>
      </c>
      <c r="P14" s="58" t="s">
        <v>85</v>
      </c>
      <c r="Q14" s="59" t="s">
        <v>86</v>
      </c>
      <c r="R14" s="57" t="s">
        <v>87</v>
      </c>
      <c r="S14" s="58" t="s">
        <v>88</v>
      </c>
      <c r="T14" s="58" t="s">
        <v>89</v>
      </c>
      <c r="U14" s="58" t="s">
        <v>90</v>
      </c>
      <c r="V14" s="58" t="s">
        <v>91</v>
      </c>
      <c r="W14" s="58" t="s">
        <v>92</v>
      </c>
      <c r="X14" s="58" t="s">
        <v>93</v>
      </c>
      <c r="Y14" s="58" t="s">
        <v>94</v>
      </c>
      <c r="Z14" s="58" t="s">
        <v>95</v>
      </c>
      <c r="AA14" s="58" t="s">
        <v>96</v>
      </c>
      <c r="AB14" s="58" t="s">
        <v>97</v>
      </c>
      <c r="AC14" s="58" t="s">
        <v>98</v>
      </c>
      <c r="AD14" s="58" t="s">
        <v>99</v>
      </c>
      <c r="AE14" s="58" t="s">
        <v>100</v>
      </c>
      <c r="AF14" s="58" t="s">
        <v>101</v>
      </c>
      <c r="AG14" s="58" t="s">
        <v>102</v>
      </c>
      <c r="AH14" s="58" t="s">
        <v>103</v>
      </c>
      <c r="AI14" s="58" t="s">
        <v>104</v>
      </c>
      <c r="AJ14" s="58" t="s">
        <v>105</v>
      </c>
      <c r="AK14" s="58" t="s">
        <v>106</v>
      </c>
      <c r="AL14" s="58" t="s">
        <v>107</v>
      </c>
      <c r="AM14" s="58" t="s">
        <v>108</v>
      </c>
      <c r="AN14" s="58" t="s">
        <v>109</v>
      </c>
      <c r="AO14" s="58" t="s">
        <v>110</v>
      </c>
      <c r="AP14" s="58" t="s">
        <v>111</v>
      </c>
      <c r="AQ14" s="58" t="s">
        <v>112</v>
      </c>
      <c r="AR14" s="57" t="s">
        <v>87</v>
      </c>
      <c r="AS14" s="58" t="s">
        <v>88</v>
      </c>
      <c r="AT14" s="58" t="s">
        <v>89</v>
      </c>
      <c r="AU14" s="58" t="s">
        <v>90</v>
      </c>
      <c r="AV14" s="58" t="s">
        <v>91</v>
      </c>
      <c r="AW14" s="58" t="s">
        <v>92</v>
      </c>
      <c r="AX14" s="58" t="s">
        <v>93</v>
      </c>
      <c r="AY14" s="58" t="s">
        <v>113</v>
      </c>
      <c r="AZ14" s="58" t="s">
        <v>94</v>
      </c>
      <c r="BA14" s="58" t="s">
        <v>95</v>
      </c>
      <c r="BB14" s="58" t="s">
        <v>114</v>
      </c>
      <c r="BC14" s="58" t="s">
        <v>115</v>
      </c>
      <c r="BD14" s="58" t="s">
        <v>116</v>
      </c>
      <c r="BE14" s="58" t="s">
        <v>117</v>
      </c>
      <c r="BF14" s="58" t="s">
        <v>118</v>
      </c>
      <c r="BG14" s="59" t="s">
        <v>119</v>
      </c>
      <c r="BH14" s="66" t="s">
        <v>120</v>
      </c>
      <c r="BI14" s="9"/>
      <c r="BJ14" s="9"/>
      <c r="BK14" s="9"/>
      <c r="BM14" s="9"/>
      <c r="BN14" s="9"/>
      <c r="BO14" s="9"/>
      <c r="BP14" s="9"/>
      <c r="BQ14" s="9"/>
      <c r="BR14" s="9"/>
      <c r="BS14" s="9"/>
      <c r="BT14" s="9"/>
      <c r="CB14" s="5"/>
    </row>
    <row r="15" spans="1:80" ht="29.65" customHeight="1">
      <c r="A15" s="1">
        <v>1</v>
      </c>
      <c r="B15" s="222" t="s">
        <v>222</v>
      </c>
      <c r="C15" s="183"/>
      <c r="D15" s="184" t="s">
        <v>39</v>
      </c>
      <c r="E15" s="184"/>
      <c r="F15" s="184"/>
      <c r="G15" s="191" t="s">
        <v>39</v>
      </c>
      <c r="H15" s="184"/>
      <c r="I15" s="223"/>
      <c r="J15" s="224" t="s">
        <v>122</v>
      </c>
      <c r="K15" s="191">
        <v>5</v>
      </c>
      <c r="L15" s="187"/>
      <c r="M15" s="188"/>
      <c r="N15" s="189"/>
      <c r="O15" s="189"/>
      <c r="P15" s="189"/>
      <c r="Q15" s="190"/>
      <c r="R15" s="185"/>
      <c r="S15" s="186">
        <v>2</v>
      </c>
      <c r="T15" s="191"/>
      <c r="U15" s="191">
        <v>1</v>
      </c>
      <c r="V15" s="191"/>
      <c r="W15" s="186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86"/>
      <c r="AO15" s="186"/>
      <c r="AP15" s="186"/>
      <c r="AQ15" s="187"/>
      <c r="AR15" s="185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7"/>
      <c r="BH15" s="193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</row>
    <row r="16" spans="1:80" ht="29.65" customHeight="1">
      <c r="A16" s="1">
        <v>2</v>
      </c>
      <c r="B16" s="3" t="s">
        <v>222</v>
      </c>
      <c r="C16" s="75"/>
      <c r="D16" s="70" t="s">
        <v>39</v>
      </c>
      <c r="E16" s="70"/>
      <c r="F16" s="70"/>
      <c r="G16" s="73" t="s">
        <v>39</v>
      </c>
      <c r="H16" s="70"/>
      <c r="I16" s="77"/>
      <c r="J16" s="76" t="s">
        <v>122</v>
      </c>
      <c r="K16" s="73">
        <v>5</v>
      </c>
      <c r="L16" s="81"/>
      <c r="M16" s="83"/>
      <c r="N16" s="72"/>
      <c r="O16" s="72"/>
      <c r="P16" s="72"/>
      <c r="Q16" s="84"/>
      <c r="R16" s="88"/>
      <c r="S16" s="71"/>
      <c r="T16" s="73"/>
      <c r="U16" s="73">
        <v>1</v>
      </c>
      <c r="V16" s="73"/>
      <c r="W16" s="93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82"/>
      <c r="AO16" s="71"/>
      <c r="AP16" s="71"/>
      <c r="AQ16" s="81"/>
      <c r="AR16" s="88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81"/>
      <c r="BH16" s="89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</row>
    <row r="17" spans="1:71" ht="29.65" customHeight="1">
      <c r="A17" s="1">
        <v>3</v>
      </c>
      <c r="B17" s="182" t="s">
        <v>223</v>
      </c>
      <c r="C17" s="194"/>
      <c r="D17" s="195" t="s">
        <v>39</v>
      </c>
      <c r="E17" s="195"/>
      <c r="F17" s="195"/>
      <c r="G17" s="206" t="s">
        <v>39</v>
      </c>
      <c r="H17" s="195"/>
      <c r="I17" s="208"/>
      <c r="J17" s="207" t="s">
        <v>122</v>
      </c>
      <c r="K17" s="206">
        <v>5</v>
      </c>
      <c r="L17" s="198"/>
      <c r="M17" s="199"/>
      <c r="N17" s="200"/>
      <c r="O17" s="200"/>
      <c r="P17" s="200"/>
      <c r="Q17" s="201"/>
      <c r="R17" s="196">
        <v>2</v>
      </c>
      <c r="S17" s="197"/>
      <c r="T17" s="197"/>
      <c r="U17" s="197">
        <v>1</v>
      </c>
      <c r="V17" s="197"/>
      <c r="W17" s="202"/>
      <c r="X17" s="197"/>
      <c r="Y17" s="197">
        <v>1</v>
      </c>
      <c r="Z17" s="197"/>
      <c r="AA17" s="197"/>
      <c r="AB17" s="197"/>
      <c r="AC17" s="197"/>
      <c r="AD17" s="197"/>
      <c r="AE17" s="197"/>
      <c r="AF17" s="197"/>
      <c r="AG17" s="197"/>
      <c r="AH17" s="197"/>
      <c r="AI17" s="197"/>
      <c r="AJ17" s="197"/>
      <c r="AK17" s="197"/>
      <c r="AL17" s="197"/>
      <c r="AM17" s="197"/>
      <c r="AN17" s="203"/>
      <c r="AO17" s="197"/>
      <c r="AP17" s="197"/>
      <c r="AQ17" s="198"/>
      <c r="AR17" s="196"/>
      <c r="AS17" s="197"/>
      <c r="AT17" s="197"/>
      <c r="AU17" s="197"/>
      <c r="AV17" s="197"/>
      <c r="AW17" s="197"/>
      <c r="AX17" s="197"/>
      <c r="AY17" s="197"/>
      <c r="AZ17" s="204"/>
      <c r="BA17" s="197"/>
      <c r="BB17" s="197"/>
      <c r="BC17" s="197"/>
      <c r="BD17" s="197"/>
      <c r="BE17" s="197"/>
      <c r="BF17" s="197"/>
      <c r="BG17" s="198"/>
      <c r="BH17" s="205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</row>
    <row r="18" spans="1:71" ht="29.65" customHeight="1">
      <c r="A18" s="1">
        <v>4</v>
      </c>
      <c r="B18" s="3" t="s">
        <v>224</v>
      </c>
      <c r="C18" s="75"/>
      <c r="D18" s="70" t="s">
        <v>39</v>
      </c>
      <c r="E18" s="70"/>
      <c r="F18" s="70"/>
      <c r="G18" s="73" t="s">
        <v>39</v>
      </c>
      <c r="H18" s="70"/>
      <c r="I18" s="77"/>
      <c r="J18" s="76" t="s">
        <v>122</v>
      </c>
      <c r="K18" s="73">
        <v>5</v>
      </c>
      <c r="L18" s="81"/>
      <c r="M18" s="83"/>
      <c r="N18" s="72"/>
      <c r="O18" s="72"/>
      <c r="P18" s="72"/>
      <c r="Q18" s="84"/>
      <c r="R18" s="88">
        <v>4</v>
      </c>
      <c r="S18" s="71"/>
      <c r="T18" s="71"/>
      <c r="U18" s="71">
        <v>2</v>
      </c>
      <c r="V18" s="71"/>
      <c r="W18" s="93"/>
      <c r="X18" s="71"/>
      <c r="Y18" s="71">
        <v>2</v>
      </c>
      <c r="Z18" s="71"/>
      <c r="AA18" s="71"/>
      <c r="AB18" s="71"/>
      <c r="AC18" s="71"/>
      <c r="AD18" s="71">
        <v>1</v>
      </c>
      <c r="AE18" s="71"/>
      <c r="AF18" s="71"/>
      <c r="AG18" s="71"/>
      <c r="AH18" s="71"/>
      <c r="AI18" s="71"/>
      <c r="AJ18" s="71"/>
      <c r="AK18" s="71"/>
      <c r="AL18" s="71"/>
      <c r="AM18" s="71"/>
      <c r="AN18" s="82"/>
      <c r="AO18" s="71"/>
      <c r="AP18" s="71"/>
      <c r="AQ18" s="81"/>
      <c r="AR18" s="88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81"/>
      <c r="BH18" s="89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</row>
    <row r="19" spans="1:71" ht="29.65" customHeight="1">
      <c r="A19" s="1">
        <v>5</v>
      </c>
      <c r="B19" s="182" t="s">
        <v>225</v>
      </c>
      <c r="C19" s="194"/>
      <c r="D19" s="195" t="s">
        <v>39</v>
      </c>
      <c r="E19" s="195"/>
      <c r="F19" s="195"/>
      <c r="G19" s="206" t="s">
        <v>39</v>
      </c>
      <c r="H19" s="195"/>
      <c r="I19" s="208"/>
      <c r="J19" s="207" t="s">
        <v>122</v>
      </c>
      <c r="K19" s="206">
        <v>5</v>
      </c>
      <c r="L19" s="198"/>
      <c r="M19" s="199"/>
      <c r="N19" s="200"/>
      <c r="O19" s="200"/>
      <c r="P19" s="200"/>
      <c r="Q19" s="201"/>
      <c r="R19" s="196">
        <v>2</v>
      </c>
      <c r="S19" s="197"/>
      <c r="T19" s="197"/>
      <c r="U19" s="197">
        <v>2</v>
      </c>
      <c r="V19" s="197"/>
      <c r="W19" s="202"/>
      <c r="X19" s="206"/>
      <c r="Y19" s="197">
        <v>2</v>
      </c>
      <c r="Z19" s="197"/>
      <c r="AA19" s="197"/>
      <c r="AB19" s="197"/>
      <c r="AC19" s="197"/>
      <c r="AD19" s="197">
        <v>1</v>
      </c>
      <c r="AE19" s="197"/>
      <c r="AF19" s="197"/>
      <c r="AG19" s="197"/>
      <c r="AH19" s="197"/>
      <c r="AI19" s="197"/>
      <c r="AJ19" s="197"/>
      <c r="AK19" s="197"/>
      <c r="AL19" s="197"/>
      <c r="AM19" s="197"/>
      <c r="AN19" s="203"/>
      <c r="AO19" s="197"/>
      <c r="AP19" s="197"/>
      <c r="AQ19" s="198"/>
      <c r="AR19" s="196"/>
      <c r="AS19" s="197"/>
      <c r="AT19" s="197"/>
      <c r="AU19" s="197"/>
      <c r="AV19" s="197"/>
      <c r="AW19" s="197"/>
      <c r="AX19" s="197"/>
      <c r="AY19" s="197"/>
      <c r="AZ19" s="197"/>
      <c r="BA19" s="197"/>
      <c r="BB19" s="197"/>
      <c r="BC19" s="197"/>
      <c r="BD19" s="197"/>
      <c r="BE19" s="197"/>
      <c r="BF19" s="197"/>
      <c r="BG19" s="198"/>
      <c r="BH19" s="205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</row>
    <row r="20" spans="1:71" ht="29.65" customHeight="1">
      <c r="A20" s="1">
        <v>6</v>
      </c>
      <c r="B20" s="3" t="s">
        <v>226</v>
      </c>
      <c r="C20" s="75"/>
      <c r="D20" s="70" t="s">
        <v>39</v>
      </c>
      <c r="E20" s="70"/>
      <c r="F20" s="70"/>
      <c r="G20" s="73" t="s">
        <v>39</v>
      </c>
      <c r="H20" s="73"/>
      <c r="I20" s="77"/>
      <c r="J20" s="76" t="s">
        <v>122</v>
      </c>
      <c r="K20" s="73">
        <v>5</v>
      </c>
      <c r="L20" s="81"/>
      <c r="M20" s="83"/>
      <c r="N20" s="72"/>
      <c r="O20" s="72"/>
      <c r="P20" s="72"/>
      <c r="Q20" s="84"/>
      <c r="R20" s="88">
        <v>3</v>
      </c>
      <c r="S20" s="71"/>
      <c r="T20" s="71"/>
      <c r="U20" s="71">
        <v>2</v>
      </c>
      <c r="V20" s="71"/>
      <c r="W20" s="93"/>
      <c r="X20" s="73"/>
      <c r="Y20" s="71">
        <v>2</v>
      </c>
      <c r="Z20" s="71"/>
      <c r="AA20" s="71"/>
      <c r="AB20" s="71"/>
      <c r="AC20" s="71"/>
      <c r="AD20" s="71">
        <v>1</v>
      </c>
      <c r="AE20" s="71"/>
      <c r="AF20" s="71"/>
      <c r="AG20" s="71"/>
      <c r="AH20" s="71"/>
      <c r="AI20" s="71"/>
      <c r="AJ20" s="71"/>
      <c r="AK20" s="71"/>
      <c r="AL20" s="71"/>
      <c r="AM20" s="71"/>
      <c r="AN20" s="82"/>
      <c r="AO20" s="71"/>
      <c r="AP20" s="71"/>
      <c r="AQ20" s="81"/>
      <c r="AR20" s="88"/>
      <c r="AS20" s="71"/>
      <c r="AT20" s="71"/>
      <c r="AU20" s="71"/>
      <c r="AV20" s="71"/>
      <c r="AW20" s="71"/>
      <c r="AX20" s="71"/>
      <c r="AY20" s="71"/>
      <c r="AZ20" s="74"/>
      <c r="BA20" s="71"/>
      <c r="BB20" s="71"/>
      <c r="BC20" s="71"/>
      <c r="BD20" s="71"/>
      <c r="BE20" s="71"/>
      <c r="BF20" s="71"/>
      <c r="BG20" s="81"/>
      <c r="BH20" s="89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</row>
    <row r="21" spans="1:71" ht="29.65" customHeight="1">
      <c r="A21" s="1">
        <v>7</v>
      </c>
      <c r="B21" s="182" t="s">
        <v>227</v>
      </c>
      <c r="C21" s="207"/>
      <c r="D21" s="206"/>
      <c r="E21" s="206" t="s">
        <v>39</v>
      </c>
      <c r="F21" s="206"/>
      <c r="G21" s="206" t="s">
        <v>39</v>
      </c>
      <c r="H21" s="206"/>
      <c r="I21" s="208"/>
      <c r="J21" s="207" t="s">
        <v>126</v>
      </c>
      <c r="K21" s="206">
        <v>10</v>
      </c>
      <c r="L21" s="198"/>
      <c r="M21" s="199"/>
      <c r="N21" s="200"/>
      <c r="O21" s="200"/>
      <c r="P21" s="200"/>
      <c r="Q21" s="201"/>
      <c r="R21" s="196"/>
      <c r="S21" s="197"/>
      <c r="T21" s="197"/>
      <c r="U21" s="197"/>
      <c r="V21" s="197"/>
      <c r="W21" s="202"/>
      <c r="X21" s="206"/>
      <c r="Y21" s="197"/>
      <c r="Z21" s="197"/>
      <c r="AA21" s="197"/>
      <c r="AB21" s="197"/>
      <c r="AC21" s="197"/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203"/>
      <c r="AO21" s="197"/>
      <c r="AP21" s="197"/>
      <c r="AQ21" s="198"/>
      <c r="AR21" s="196"/>
      <c r="AS21" s="197"/>
      <c r="AT21" s="197"/>
      <c r="AU21" s="197"/>
      <c r="AV21" s="197"/>
      <c r="AW21" s="197"/>
      <c r="AX21" s="197"/>
      <c r="AY21" s="197"/>
      <c r="AZ21" s="197"/>
      <c r="BA21" s="197"/>
      <c r="BB21" s="197"/>
      <c r="BC21" s="197"/>
      <c r="BD21" s="197"/>
      <c r="BE21" s="197"/>
      <c r="BF21" s="197"/>
      <c r="BG21" s="198"/>
      <c r="BH21" s="205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</row>
    <row r="22" spans="1:71" ht="29.65" customHeight="1">
      <c r="A22" s="1">
        <v>8</v>
      </c>
      <c r="B22" s="3" t="s">
        <v>228</v>
      </c>
      <c r="C22" s="76"/>
      <c r="D22" s="73" t="s">
        <v>39</v>
      </c>
      <c r="E22" s="73"/>
      <c r="F22" s="73"/>
      <c r="G22" s="73" t="s">
        <v>39</v>
      </c>
      <c r="H22" s="73"/>
      <c r="I22" s="77"/>
      <c r="J22" s="76" t="s">
        <v>126</v>
      </c>
      <c r="K22" s="73">
        <v>10</v>
      </c>
      <c r="L22" s="81"/>
      <c r="M22" s="83"/>
      <c r="N22" s="72"/>
      <c r="O22" s="72"/>
      <c r="P22" s="72"/>
      <c r="Q22" s="84"/>
      <c r="R22" s="88"/>
      <c r="S22" s="71"/>
      <c r="T22" s="71"/>
      <c r="U22" s="71"/>
      <c r="V22" s="71"/>
      <c r="W22" s="93"/>
      <c r="X22" s="73"/>
      <c r="Y22" s="71"/>
      <c r="Z22" s="71"/>
      <c r="AA22" s="71"/>
      <c r="AB22" s="71"/>
      <c r="AC22" s="71">
        <v>1</v>
      </c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82"/>
      <c r="AO22" s="71"/>
      <c r="AP22" s="71"/>
      <c r="AQ22" s="81"/>
      <c r="AR22" s="88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81"/>
      <c r="BH22" s="89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</row>
    <row r="23" spans="1:71" ht="29.65" customHeight="1">
      <c r="A23" s="1">
        <v>9</v>
      </c>
      <c r="B23" s="182" t="s">
        <v>229</v>
      </c>
      <c r="C23" s="207"/>
      <c r="D23" s="206"/>
      <c r="E23" s="206" t="s">
        <v>39</v>
      </c>
      <c r="F23" s="206"/>
      <c r="G23" s="206"/>
      <c r="H23" s="206"/>
      <c r="I23" s="208"/>
      <c r="J23" s="207" t="s">
        <v>126</v>
      </c>
      <c r="K23" s="206">
        <v>10</v>
      </c>
      <c r="L23" s="198"/>
      <c r="M23" s="199"/>
      <c r="N23" s="200"/>
      <c r="O23" s="200"/>
      <c r="P23" s="200"/>
      <c r="Q23" s="201"/>
      <c r="R23" s="196"/>
      <c r="S23" s="197"/>
      <c r="T23" s="197"/>
      <c r="U23" s="197"/>
      <c r="V23" s="197"/>
      <c r="W23" s="202"/>
      <c r="X23" s="206"/>
      <c r="Y23" s="197"/>
      <c r="Z23" s="197"/>
      <c r="AA23" s="197"/>
      <c r="AB23" s="197"/>
      <c r="AC23" s="197"/>
      <c r="AD23" s="197"/>
      <c r="AE23" s="197">
        <v>1</v>
      </c>
      <c r="AF23" s="197"/>
      <c r="AG23" s="197"/>
      <c r="AH23" s="197"/>
      <c r="AI23" s="197"/>
      <c r="AJ23" s="197"/>
      <c r="AK23" s="197"/>
      <c r="AL23" s="197"/>
      <c r="AM23" s="197"/>
      <c r="AN23" s="203"/>
      <c r="AO23" s="197"/>
      <c r="AP23" s="197"/>
      <c r="AQ23" s="198"/>
      <c r="AR23" s="196"/>
      <c r="AS23" s="197"/>
      <c r="AT23" s="197"/>
      <c r="AU23" s="197"/>
      <c r="AV23" s="197"/>
      <c r="AW23" s="197"/>
      <c r="AX23" s="197"/>
      <c r="AY23" s="197"/>
      <c r="AZ23" s="197"/>
      <c r="BA23" s="197"/>
      <c r="BB23" s="197"/>
      <c r="BC23" s="197"/>
      <c r="BD23" s="197"/>
      <c r="BE23" s="197"/>
      <c r="BF23" s="197"/>
      <c r="BG23" s="198"/>
      <c r="BH23" s="205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</row>
    <row r="24" spans="1:71" ht="30" customHeight="1">
      <c r="A24" s="1">
        <v>10</v>
      </c>
      <c r="B24" s="3" t="s">
        <v>230</v>
      </c>
      <c r="C24" s="76" t="s">
        <v>39</v>
      </c>
      <c r="D24" s="73"/>
      <c r="E24" s="73"/>
      <c r="F24" s="73"/>
      <c r="G24" s="73" t="s">
        <v>39</v>
      </c>
      <c r="H24" s="73"/>
      <c r="I24" s="77"/>
      <c r="J24" s="76" t="s">
        <v>122</v>
      </c>
      <c r="K24" s="73">
        <v>5</v>
      </c>
      <c r="L24" s="81"/>
      <c r="M24" s="83"/>
      <c r="N24" s="72"/>
      <c r="O24" s="72"/>
      <c r="P24" s="72"/>
      <c r="Q24" s="84"/>
      <c r="R24" s="88">
        <v>1</v>
      </c>
      <c r="S24" s="71"/>
      <c r="T24" s="71"/>
      <c r="U24" s="71"/>
      <c r="V24" s="71"/>
      <c r="W24" s="93"/>
      <c r="X24" s="73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82"/>
      <c r="AO24" s="71"/>
      <c r="AP24" s="71"/>
      <c r="AQ24" s="81"/>
      <c r="AR24" s="88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81"/>
      <c r="BH24" s="89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</row>
    <row r="25" spans="1:71" ht="29.65" customHeight="1">
      <c r="A25" s="1">
        <v>11</v>
      </c>
      <c r="B25" s="182" t="s">
        <v>230</v>
      </c>
      <c r="C25" s="207"/>
      <c r="D25" s="206"/>
      <c r="E25" s="206"/>
      <c r="F25" s="206" t="s">
        <v>39</v>
      </c>
      <c r="G25" s="206"/>
      <c r="H25" s="206" t="s">
        <v>39</v>
      </c>
      <c r="I25" s="208"/>
      <c r="J25" s="207" t="s">
        <v>122</v>
      </c>
      <c r="K25" s="206">
        <v>5</v>
      </c>
      <c r="L25" s="198"/>
      <c r="M25" s="199"/>
      <c r="N25" s="200"/>
      <c r="O25" s="200"/>
      <c r="P25" s="200"/>
      <c r="Q25" s="201"/>
      <c r="R25" s="196"/>
      <c r="S25" s="197"/>
      <c r="T25" s="197"/>
      <c r="U25" s="197"/>
      <c r="V25" s="197"/>
      <c r="W25" s="197"/>
      <c r="X25" s="209"/>
      <c r="Y25" s="210"/>
      <c r="Z25" s="210"/>
      <c r="AA25" s="210">
        <v>2</v>
      </c>
      <c r="AB25" s="210"/>
      <c r="AC25" s="210">
        <v>1</v>
      </c>
      <c r="AD25" s="210"/>
      <c r="AE25" s="210"/>
      <c r="AF25" s="210"/>
      <c r="AG25" s="210"/>
      <c r="AH25" s="210"/>
      <c r="AI25" s="210"/>
      <c r="AJ25" s="210"/>
      <c r="AK25" s="210"/>
      <c r="AL25" s="210"/>
      <c r="AM25" s="210"/>
      <c r="AN25" s="197"/>
      <c r="AO25" s="197">
        <v>2</v>
      </c>
      <c r="AP25" s="197"/>
      <c r="AQ25" s="198"/>
      <c r="AR25" s="196"/>
      <c r="AS25" s="197"/>
      <c r="AT25" s="197"/>
      <c r="AU25" s="197"/>
      <c r="AV25" s="197"/>
      <c r="AW25" s="197"/>
      <c r="AX25" s="197"/>
      <c r="AY25" s="197"/>
      <c r="AZ25" s="197"/>
      <c r="BA25" s="197"/>
      <c r="BB25" s="197"/>
      <c r="BC25" s="197"/>
      <c r="BD25" s="197"/>
      <c r="BE25" s="197"/>
      <c r="BF25" s="197"/>
      <c r="BG25" s="198"/>
      <c r="BH25" s="205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</row>
    <row r="26" spans="1:71" ht="29.65" customHeight="1">
      <c r="A26" s="1">
        <v>12</v>
      </c>
      <c r="B26" s="3" t="s">
        <v>230</v>
      </c>
      <c r="C26" s="76" t="s">
        <v>39</v>
      </c>
      <c r="D26" s="73"/>
      <c r="E26" s="73"/>
      <c r="F26" s="73"/>
      <c r="G26" s="73" t="s">
        <v>39</v>
      </c>
      <c r="H26" s="73"/>
      <c r="I26" s="77"/>
      <c r="J26" s="76" t="s">
        <v>122</v>
      </c>
      <c r="K26" s="73">
        <v>10</v>
      </c>
      <c r="L26" s="81"/>
      <c r="M26" s="83"/>
      <c r="N26" s="72"/>
      <c r="O26" s="72"/>
      <c r="P26" s="72"/>
      <c r="Q26" s="84"/>
      <c r="R26" s="88"/>
      <c r="S26" s="71"/>
      <c r="T26" s="71"/>
      <c r="U26" s="71"/>
      <c r="V26" s="71"/>
      <c r="W26" s="71"/>
      <c r="X26" s="71"/>
      <c r="Y26" s="71"/>
      <c r="Z26" s="71">
        <v>5</v>
      </c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81"/>
      <c r="AR26" s="88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81"/>
      <c r="BH26" s="89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</row>
    <row r="27" spans="1:71" ht="29.65" customHeight="1">
      <c r="A27" s="1">
        <v>13</v>
      </c>
      <c r="B27" s="182" t="s">
        <v>231</v>
      </c>
      <c r="C27" s="207"/>
      <c r="D27" s="206" t="s">
        <v>39</v>
      </c>
      <c r="E27" s="206"/>
      <c r="F27" s="206"/>
      <c r="G27" s="206" t="s">
        <v>39</v>
      </c>
      <c r="H27" s="206"/>
      <c r="I27" s="208"/>
      <c r="J27" s="207" t="s">
        <v>122</v>
      </c>
      <c r="K27" s="206">
        <v>5</v>
      </c>
      <c r="L27" s="208"/>
      <c r="M27" s="199"/>
      <c r="N27" s="200"/>
      <c r="O27" s="200"/>
      <c r="P27" s="200"/>
      <c r="Q27" s="201"/>
      <c r="R27" s="196">
        <v>3</v>
      </c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8"/>
      <c r="AR27" s="196"/>
      <c r="AS27" s="197"/>
      <c r="AT27" s="197"/>
      <c r="AU27" s="197"/>
      <c r="AV27" s="197"/>
      <c r="AW27" s="197"/>
      <c r="AX27" s="197"/>
      <c r="AY27" s="197"/>
      <c r="AZ27" s="197"/>
      <c r="BA27" s="204"/>
      <c r="BB27" s="197"/>
      <c r="BC27" s="197"/>
      <c r="BD27" s="197"/>
      <c r="BE27" s="197"/>
      <c r="BF27" s="197"/>
      <c r="BG27" s="198"/>
      <c r="BH27" s="205"/>
      <c r="BI27" s="1"/>
      <c r="BJ27" s="1"/>
      <c r="BK27" s="2"/>
      <c r="BL27" s="1"/>
      <c r="BM27" s="2"/>
      <c r="BN27" s="1"/>
      <c r="BO27" s="1"/>
      <c r="BP27" s="1"/>
      <c r="BQ27" s="1"/>
      <c r="BR27" s="1"/>
      <c r="BS27" s="1"/>
    </row>
    <row r="28" spans="1:71" ht="29.65" customHeight="1">
      <c r="A28" s="1">
        <v>14</v>
      </c>
      <c r="B28" s="3" t="s">
        <v>231</v>
      </c>
      <c r="C28" s="76"/>
      <c r="D28" s="73" t="s">
        <v>39</v>
      </c>
      <c r="E28" s="73"/>
      <c r="F28" s="73"/>
      <c r="G28" s="73" t="s">
        <v>39</v>
      </c>
      <c r="H28" s="73"/>
      <c r="I28" s="77"/>
      <c r="J28" s="76" t="s">
        <v>122</v>
      </c>
      <c r="K28" s="73">
        <v>5</v>
      </c>
      <c r="L28" s="77"/>
      <c r="M28" s="83"/>
      <c r="N28" s="72"/>
      <c r="O28" s="72"/>
      <c r="P28" s="72"/>
      <c r="Q28" s="84"/>
      <c r="R28" s="88">
        <v>5</v>
      </c>
      <c r="S28" s="71"/>
      <c r="T28" s="71"/>
      <c r="U28" s="71">
        <v>4</v>
      </c>
      <c r="V28" s="71"/>
      <c r="W28" s="71"/>
      <c r="X28" s="71"/>
      <c r="Y28" s="71"/>
      <c r="Z28" s="71"/>
      <c r="AA28" s="71"/>
      <c r="AB28" s="71"/>
      <c r="AC28" s="71"/>
      <c r="AD28" s="71">
        <v>1</v>
      </c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81"/>
      <c r="AR28" s="88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81"/>
      <c r="BH28" s="89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</row>
    <row r="29" spans="1:71" ht="29.65" customHeight="1">
      <c r="A29" s="1">
        <v>15</v>
      </c>
      <c r="B29" s="182" t="s">
        <v>232</v>
      </c>
      <c r="C29" s="207"/>
      <c r="D29" s="206"/>
      <c r="E29" s="206" t="s">
        <v>39</v>
      </c>
      <c r="F29" s="206"/>
      <c r="G29" s="206"/>
      <c r="H29" s="206"/>
      <c r="I29" s="208"/>
      <c r="J29" s="207" t="s">
        <v>122</v>
      </c>
      <c r="K29" s="206">
        <v>5</v>
      </c>
      <c r="L29" s="208"/>
      <c r="M29" s="199"/>
      <c r="N29" s="200"/>
      <c r="O29" s="200"/>
      <c r="P29" s="200"/>
      <c r="Q29" s="201"/>
      <c r="R29" s="196">
        <v>1</v>
      </c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>
        <v>1</v>
      </c>
      <c r="AD29" s="197"/>
      <c r="AE29" s="197">
        <v>1</v>
      </c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AQ29" s="198"/>
      <c r="AR29" s="196"/>
      <c r="AS29" s="197"/>
      <c r="AT29" s="197"/>
      <c r="AU29" s="197"/>
      <c r="AV29" s="197"/>
      <c r="AW29" s="197"/>
      <c r="AX29" s="197"/>
      <c r="AY29" s="197"/>
      <c r="AZ29" s="197"/>
      <c r="BA29" s="197"/>
      <c r="BB29" s="197"/>
      <c r="BC29" s="197"/>
      <c r="BD29" s="197"/>
      <c r="BE29" s="197"/>
      <c r="BF29" s="197"/>
      <c r="BG29" s="198"/>
      <c r="BH29" s="205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</row>
    <row r="30" spans="1:71" ht="29.65" customHeight="1">
      <c r="A30" s="1">
        <v>16</v>
      </c>
      <c r="B30" s="3" t="s">
        <v>233</v>
      </c>
      <c r="C30" s="76"/>
      <c r="D30" s="73"/>
      <c r="E30" s="73"/>
      <c r="F30" s="73" t="s">
        <v>39</v>
      </c>
      <c r="G30" s="73" t="s">
        <v>39</v>
      </c>
      <c r="H30" s="73"/>
      <c r="I30" s="77"/>
      <c r="J30" s="76" t="s">
        <v>122</v>
      </c>
      <c r="K30" s="73">
        <v>5</v>
      </c>
      <c r="L30" s="77"/>
      <c r="M30" s="83"/>
      <c r="N30" s="72"/>
      <c r="O30" s="72"/>
      <c r="P30" s="72"/>
      <c r="Q30" s="84"/>
      <c r="R30" s="88">
        <v>1</v>
      </c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>
        <v>1</v>
      </c>
      <c r="AD30" s="71"/>
      <c r="AE30" s="71">
        <v>1</v>
      </c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81"/>
      <c r="AR30" s="88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81"/>
      <c r="BH30" s="89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</row>
    <row r="31" spans="1:71" ht="30" customHeight="1">
      <c r="A31" s="1">
        <v>17</v>
      </c>
      <c r="B31" s="182" t="s">
        <v>234</v>
      </c>
      <c r="C31" s="207"/>
      <c r="D31" s="206" t="s">
        <v>39</v>
      </c>
      <c r="E31" s="206"/>
      <c r="F31" s="206"/>
      <c r="G31" s="206" t="s">
        <v>39</v>
      </c>
      <c r="H31" s="206"/>
      <c r="I31" s="208"/>
      <c r="J31" s="207" t="s">
        <v>122</v>
      </c>
      <c r="K31" s="206">
        <v>5</v>
      </c>
      <c r="L31" s="208"/>
      <c r="M31" s="199"/>
      <c r="N31" s="200"/>
      <c r="O31" s="200"/>
      <c r="P31" s="200"/>
      <c r="Q31" s="201"/>
      <c r="R31" s="196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>
        <v>1</v>
      </c>
      <c r="AD31" s="197"/>
      <c r="AE31" s="197"/>
      <c r="AF31" s="197"/>
      <c r="AG31" s="197"/>
      <c r="AH31" s="197"/>
      <c r="AI31" s="197"/>
      <c r="AJ31" s="197"/>
      <c r="AK31" s="197"/>
      <c r="AL31" s="197">
        <v>1</v>
      </c>
      <c r="AM31" s="197"/>
      <c r="AN31" s="197"/>
      <c r="AO31" s="197"/>
      <c r="AP31" s="197"/>
      <c r="AQ31" s="198"/>
      <c r="AR31" s="196"/>
      <c r="AS31" s="197"/>
      <c r="AT31" s="197"/>
      <c r="AU31" s="197"/>
      <c r="AV31" s="197"/>
      <c r="AW31" s="197"/>
      <c r="AX31" s="197"/>
      <c r="AY31" s="197"/>
      <c r="AZ31" s="197"/>
      <c r="BA31" s="197"/>
      <c r="BB31" s="197"/>
      <c r="BC31" s="197"/>
      <c r="BD31" s="197"/>
      <c r="BE31" s="197"/>
      <c r="BF31" s="197"/>
      <c r="BG31" s="198"/>
      <c r="BH31" s="205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</row>
    <row r="32" spans="1:71" ht="29.65" customHeight="1">
      <c r="A32" s="1">
        <v>18</v>
      </c>
      <c r="B32" s="3" t="s">
        <v>235</v>
      </c>
      <c r="C32" s="76"/>
      <c r="D32" s="73" t="s">
        <v>39</v>
      </c>
      <c r="E32" s="73"/>
      <c r="F32" s="73"/>
      <c r="G32" s="73" t="s">
        <v>39</v>
      </c>
      <c r="H32" s="73"/>
      <c r="I32" s="77"/>
      <c r="J32" s="76" t="s">
        <v>122</v>
      </c>
      <c r="K32" s="73">
        <v>5</v>
      </c>
      <c r="L32" s="77"/>
      <c r="M32" s="83"/>
      <c r="N32" s="72"/>
      <c r="O32" s="72"/>
      <c r="P32" s="72"/>
      <c r="Q32" s="84"/>
      <c r="R32" s="88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81"/>
      <c r="AR32" s="88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81"/>
      <c r="BH32" s="89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</row>
    <row r="33" spans="1:75" ht="30.6" customHeight="1">
      <c r="A33" s="1">
        <v>19</v>
      </c>
      <c r="B33" s="182" t="s">
        <v>236</v>
      </c>
      <c r="C33" s="207" t="s">
        <v>39</v>
      </c>
      <c r="D33" s="206"/>
      <c r="E33" s="206"/>
      <c r="F33" s="206"/>
      <c r="G33" s="206" t="s">
        <v>39</v>
      </c>
      <c r="H33" s="206"/>
      <c r="I33" s="208"/>
      <c r="J33" s="207" t="s">
        <v>142</v>
      </c>
      <c r="K33" s="206">
        <v>10</v>
      </c>
      <c r="L33" s="208"/>
      <c r="M33" s="199"/>
      <c r="N33" s="200"/>
      <c r="O33" s="200"/>
      <c r="P33" s="200"/>
      <c r="Q33" s="201"/>
      <c r="R33" s="196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>
        <v>1</v>
      </c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8"/>
      <c r="AR33" s="196"/>
      <c r="AS33" s="197"/>
      <c r="AT33" s="197"/>
      <c r="AU33" s="197"/>
      <c r="AV33" s="197"/>
      <c r="AW33" s="197"/>
      <c r="AX33" s="197"/>
      <c r="AY33" s="197"/>
      <c r="AZ33" s="197"/>
      <c r="BA33" s="197"/>
      <c r="BB33" s="197"/>
      <c r="BC33" s="197"/>
      <c r="BD33" s="197"/>
      <c r="BE33" s="197"/>
      <c r="BF33" s="197"/>
      <c r="BG33" s="198"/>
      <c r="BH33" s="205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</row>
    <row r="34" spans="1:75" ht="29.65" customHeight="1">
      <c r="A34" s="1">
        <v>20</v>
      </c>
      <c r="B34" s="3" t="s">
        <v>237</v>
      </c>
      <c r="C34" s="76"/>
      <c r="D34" s="73" t="s">
        <v>39</v>
      </c>
      <c r="E34" s="73"/>
      <c r="F34" s="73"/>
      <c r="G34" s="73" t="s">
        <v>39</v>
      </c>
      <c r="H34" s="73"/>
      <c r="I34" s="77"/>
      <c r="J34" s="76" t="s">
        <v>126</v>
      </c>
      <c r="K34" s="73">
        <v>5</v>
      </c>
      <c r="L34" s="77"/>
      <c r="M34" s="83"/>
      <c r="N34" s="72"/>
      <c r="O34" s="72"/>
      <c r="P34" s="72"/>
      <c r="Q34" s="84"/>
      <c r="R34" s="88"/>
      <c r="S34" s="71"/>
      <c r="T34" s="71"/>
      <c r="U34" s="71"/>
      <c r="V34" s="71"/>
      <c r="W34" s="71"/>
      <c r="X34" s="71"/>
      <c r="Y34" s="71"/>
      <c r="Z34" s="71"/>
      <c r="AA34" s="71"/>
      <c r="AB34" s="71">
        <v>1</v>
      </c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81"/>
      <c r="AR34" s="88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81"/>
      <c r="BH34" s="89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</row>
    <row r="35" spans="1:75" ht="29.65" customHeight="1">
      <c r="A35" s="1">
        <v>21</v>
      </c>
      <c r="B35" s="182" t="s">
        <v>236</v>
      </c>
      <c r="C35" s="207" t="s">
        <v>39</v>
      </c>
      <c r="D35" s="206"/>
      <c r="E35" s="206"/>
      <c r="F35" s="206"/>
      <c r="G35" s="206" t="s">
        <v>39</v>
      </c>
      <c r="H35" s="206"/>
      <c r="I35" s="208"/>
      <c r="J35" s="207" t="s">
        <v>142</v>
      </c>
      <c r="K35" s="206">
        <v>10</v>
      </c>
      <c r="L35" s="208"/>
      <c r="M35" s="199"/>
      <c r="N35" s="200"/>
      <c r="O35" s="200"/>
      <c r="P35" s="200"/>
      <c r="Q35" s="201"/>
      <c r="R35" s="196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  <c r="AP35" s="197"/>
      <c r="AQ35" s="198"/>
      <c r="AR35" s="196"/>
      <c r="AS35" s="197"/>
      <c r="AT35" s="197"/>
      <c r="AU35" s="197"/>
      <c r="AV35" s="197"/>
      <c r="AW35" s="197"/>
      <c r="AX35" s="197"/>
      <c r="AY35" s="197"/>
      <c r="AZ35" s="197"/>
      <c r="BA35" s="197"/>
      <c r="BB35" s="197"/>
      <c r="BC35" s="197"/>
      <c r="BD35" s="197"/>
      <c r="BE35" s="197"/>
      <c r="BF35" s="197"/>
      <c r="BG35" s="198"/>
      <c r="BH35" s="205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</row>
    <row r="36" spans="1:75" ht="29.65" customHeight="1">
      <c r="A36" s="1">
        <v>22</v>
      </c>
      <c r="B36" s="3" t="s">
        <v>237</v>
      </c>
      <c r="C36" s="76"/>
      <c r="D36" s="73" t="s">
        <v>39</v>
      </c>
      <c r="E36" s="73"/>
      <c r="F36" s="73"/>
      <c r="G36" s="73" t="s">
        <v>39</v>
      </c>
      <c r="H36" s="73"/>
      <c r="I36" s="77"/>
      <c r="J36" s="76" t="s">
        <v>142</v>
      </c>
      <c r="K36" s="73">
        <v>10</v>
      </c>
      <c r="L36" s="77"/>
      <c r="M36" s="83"/>
      <c r="N36" s="72"/>
      <c r="O36" s="72"/>
      <c r="P36" s="72"/>
      <c r="Q36" s="84"/>
      <c r="R36" s="88"/>
      <c r="S36" s="71"/>
      <c r="T36" s="71"/>
      <c r="U36" s="71"/>
      <c r="V36" s="71"/>
      <c r="W36" s="71"/>
      <c r="X36" s="71"/>
      <c r="Y36" s="71"/>
      <c r="Z36" s="71">
        <v>1</v>
      </c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81"/>
      <c r="AR36" s="88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81"/>
      <c r="BH36" s="89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</row>
    <row r="37" spans="1:75" ht="29.65" customHeight="1">
      <c r="A37" s="1">
        <v>23</v>
      </c>
      <c r="B37" s="182" t="s">
        <v>238</v>
      </c>
      <c r="C37" s="207"/>
      <c r="D37" s="206" t="s">
        <v>39</v>
      </c>
      <c r="E37" s="206"/>
      <c r="F37" s="206"/>
      <c r="G37" s="206" t="s">
        <v>39</v>
      </c>
      <c r="H37" s="206"/>
      <c r="I37" s="208"/>
      <c r="J37" s="207" t="s">
        <v>142</v>
      </c>
      <c r="K37" s="206">
        <v>10</v>
      </c>
      <c r="L37" s="208"/>
      <c r="M37" s="199"/>
      <c r="N37" s="200"/>
      <c r="O37" s="200"/>
      <c r="P37" s="200"/>
      <c r="Q37" s="201"/>
      <c r="R37" s="196"/>
      <c r="S37" s="197"/>
      <c r="T37" s="197"/>
      <c r="U37" s="197"/>
      <c r="V37" s="197"/>
      <c r="W37" s="197"/>
      <c r="X37" s="197"/>
      <c r="Y37" s="197"/>
      <c r="Z37" s="197">
        <v>1</v>
      </c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  <c r="AP37" s="197"/>
      <c r="AQ37" s="198"/>
      <c r="AR37" s="196"/>
      <c r="AS37" s="197"/>
      <c r="AT37" s="197"/>
      <c r="AU37" s="197"/>
      <c r="AV37" s="197"/>
      <c r="AW37" s="197"/>
      <c r="AX37" s="197"/>
      <c r="AY37" s="197"/>
      <c r="AZ37" s="197"/>
      <c r="BA37" s="197"/>
      <c r="BB37" s="197"/>
      <c r="BC37" s="197"/>
      <c r="BD37" s="197"/>
      <c r="BE37" s="197"/>
      <c r="BF37" s="197"/>
      <c r="BG37" s="198"/>
      <c r="BH37" s="205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</row>
    <row r="38" spans="1:75" ht="29.65" customHeight="1">
      <c r="A38" s="1">
        <v>24</v>
      </c>
      <c r="B38" s="3" t="s">
        <v>239</v>
      </c>
      <c r="C38" s="76"/>
      <c r="D38" s="73"/>
      <c r="E38" s="73" t="s">
        <v>39</v>
      </c>
      <c r="F38" s="73"/>
      <c r="G38" s="73"/>
      <c r="H38" s="73"/>
      <c r="I38" s="77"/>
      <c r="J38" s="76" t="s">
        <v>126</v>
      </c>
      <c r="K38" s="73">
        <v>5</v>
      </c>
      <c r="L38" s="77"/>
      <c r="M38" s="83"/>
      <c r="N38" s="72"/>
      <c r="O38" s="72"/>
      <c r="P38" s="72"/>
      <c r="Q38" s="84"/>
      <c r="R38" s="88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>
        <v>1</v>
      </c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81"/>
      <c r="AR38" s="88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81"/>
      <c r="BH38" s="89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</row>
    <row r="39" spans="1:75" ht="29.65" customHeight="1" thickBot="1">
      <c r="A39" s="1">
        <v>25</v>
      </c>
      <c r="B39" s="182" t="s">
        <v>239</v>
      </c>
      <c r="C39" s="211"/>
      <c r="D39" s="212" t="s">
        <v>39</v>
      </c>
      <c r="E39" s="212"/>
      <c r="F39" s="212"/>
      <c r="G39" s="212" t="s">
        <v>39</v>
      </c>
      <c r="H39" s="212"/>
      <c r="I39" s="213"/>
      <c r="J39" s="211" t="s">
        <v>142</v>
      </c>
      <c r="K39" s="212">
        <v>5</v>
      </c>
      <c r="L39" s="213"/>
      <c r="M39" s="214"/>
      <c r="N39" s="215"/>
      <c r="O39" s="215"/>
      <c r="P39" s="215"/>
      <c r="Q39" s="216"/>
      <c r="R39" s="217"/>
      <c r="S39" s="218"/>
      <c r="T39" s="218"/>
      <c r="U39" s="218"/>
      <c r="V39" s="218"/>
      <c r="W39" s="218"/>
      <c r="X39" s="218"/>
      <c r="Y39" s="218"/>
      <c r="Z39" s="218"/>
      <c r="AA39" s="218"/>
      <c r="AB39" s="218"/>
      <c r="AC39" s="218"/>
      <c r="AD39" s="218">
        <v>1</v>
      </c>
      <c r="AE39" s="218"/>
      <c r="AF39" s="218"/>
      <c r="AG39" s="218"/>
      <c r="AH39" s="218"/>
      <c r="AI39" s="218"/>
      <c r="AJ39" s="218"/>
      <c r="AK39" s="218"/>
      <c r="AL39" s="218"/>
      <c r="AM39" s="218"/>
      <c r="AN39" s="218"/>
      <c r="AO39" s="218"/>
      <c r="AP39" s="218"/>
      <c r="AQ39" s="219"/>
      <c r="AR39" s="217"/>
      <c r="AS39" s="218"/>
      <c r="AT39" s="218"/>
      <c r="AU39" s="218"/>
      <c r="AV39" s="218"/>
      <c r="AW39" s="218"/>
      <c r="AX39" s="218"/>
      <c r="AY39" s="218"/>
      <c r="AZ39" s="218"/>
      <c r="BA39" s="218"/>
      <c r="BB39" s="218"/>
      <c r="BC39" s="218"/>
      <c r="BD39" s="218"/>
      <c r="BE39" s="218"/>
      <c r="BF39" s="218"/>
      <c r="BG39" s="219"/>
      <c r="BH39" s="220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</row>
    <row r="40" spans="1:75" ht="21" thickBot="1">
      <c r="A40" s="1"/>
      <c r="B40" s="69" t="s">
        <v>144</v>
      </c>
      <c r="C40" s="78"/>
      <c r="D40" s="79"/>
      <c r="E40" s="79"/>
      <c r="F40" s="79"/>
      <c r="G40" s="79"/>
      <c r="H40" s="79"/>
      <c r="I40" s="80"/>
      <c r="J40" s="78"/>
      <c r="K40" s="79"/>
      <c r="L40" s="80"/>
      <c r="M40" s="85">
        <f>SUM(M15:M39)</f>
        <v>0</v>
      </c>
      <c r="N40" s="86">
        <f>SUM(N15:N39)</f>
        <v>0</v>
      </c>
      <c r="O40" s="86">
        <f>SUM(O15:O39)</f>
        <v>0</v>
      </c>
      <c r="P40" s="86">
        <f>SUM(P15:P39)</f>
        <v>0</v>
      </c>
      <c r="Q40" s="87">
        <f>SUM(Q15:Q39)</f>
        <v>0</v>
      </c>
      <c r="R40" s="85">
        <f>SUM(R16:R39)</f>
        <v>22</v>
      </c>
      <c r="S40" s="86">
        <f>SUM(S16:S39)</f>
        <v>0</v>
      </c>
      <c r="T40" s="86"/>
      <c r="U40" s="86">
        <f>SUM(U16:U39)</f>
        <v>12</v>
      </c>
      <c r="V40" s="86"/>
      <c r="W40" s="86"/>
      <c r="X40" s="86"/>
      <c r="Y40" s="86">
        <f>SUM(Y16:Y39)</f>
        <v>7</v>
      </c>
      <c r="Z40" s="86">
        <v>7</v>
      </c>
      <c r="AA40" s="86"/>
      <c r="AB40" s="86">
        <f>SUM(AB16:AB39)</f>
        <v>1</v>
      </c>
      <c r="AC40" s="86">
        <f>SUM(AC16:AC39)</f>
        <v>5</v>
      </c>
      <c r="AD40" s="86">
        <f>SUM(AD16:AD39)</f>
        <v>6</v>
      </c>
      <c r="AE40" s="86"/>
      <c r="AF40" s="86"/>
      <c r="AG40" s="86">
        <f>SUM(AG16:AG39)</f>
        <v>0</v>
      </c>
      <c r="AH40" s="86"/>
      <c r="AI40" s="247"/>
      <c r="AJ40" s="86"/>
      <c r="AK40" s="86"/>
      <c r="AL40" s="86"/>
      <c r="AM40" s="86"/>
      <c r="AN40" s="86"/>
      <c r="AO40" s="86">
        <f>SUM(AO16:AO39)</f>
        <v>2</v>
      </c>
      <c r="AP40" s="86">
        <f>SUM(AP16:AP39)</f>
        <v>0</v>
      </c>
      <c r="AQ40" s="87">
        <v>1</v>
      </c>
      <c r="AR40" s="85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6"/>
      <c r="BD40" s="86"/>
      <c r="BE40" s="86"/>
      <c r="BF40" s="86"/>
      <c r="BG40" s="87"/>
      <c r="BH40" s="90">
        <f t="shared" ref="BH40" si="0">SUM(BH15:BH39)</f>
        <v>0</v>
      </c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</row>
    <row r="41" spans="1:75">
      <c r="A41" s="8"/>
      <c r="B41" s="68" t="s">
        <v>240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62"/>
      <c r="N41" s="63"/>
      <c r="O41" s="64"/>
      <c r="P41" s="63"/>
      <c r="Q41" s="65"/>
      <c r="R41" s="60"/>
      <c r="S41" s="60"/>
      <c r="T41" s="60"/>
      <c r="U41" s="60"/>
      <c r="V41" s="60"/>
      <c r="W41" s="60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6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</row>
    <row r="42" spans="1:75">
      <c r="A42" s="8"/>
      <c r="B42" s="13" t="s">
        <v>241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0"/>
      <c r="N42" s="10"/>
      <c r="O42" s="10"/>
      <c r="P42" s="10"/>
      <c r="Q42" s="11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248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5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</row>
    <row r="43" spans="1:75">
      <c r="A43" s="8"/>
      <c r="B43" s="16" t="s">
        <v>242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0"/>
      <c r="N43" s="10"/>
      <c r="O43" s="10"/>
      <c r="P43" s="10"/>
      <c r="Q43" s="11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248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5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</row>
    <row r="44" spans="1:75">
      <c r="A44" s="8"/>
      <c r="B44" s="16" t="s">
        <v>243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0"/>
      <c r="N44" s="10"/>
      <c r="O44" s="10"/>
      <c r="P44" s="10"/>
      <c r="Q44" s="11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248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5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</row>
    <row r="45" spans="1:75">
      <c r="A45" s="1"/>
      <c r="Q45" s="2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</row>
    <row r="46" spans="1:75">
      <c r="A46" s="1"/>
      <c r="Q46" s="2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</row>
    <row r="47" spans="1:75">
      <c r="A47" s="1"/>
      <c r="Q47" s="2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</row>
    <row r="48" spans="1: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2"/>
      <c r="N48" s="2"/>
      <c r="O48" s="2"/>
      <c r="P48" s="2"/>
      <c r="Q48" s="2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</row>
    <row r="49" spans="1:7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2"/>
      <c r="N49" s="2"/>
      <c r="O49" s="2"/>
      <c r="P49" s="2"/>
      <c r="Q49" s="2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</row>
    <row r="50" spans="1:7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2"/>
      <c r="N50" s="2"/>
      <c r="O50" s="2"/>
      <c r="P50" s="2"/>
      <c r="Q50" s="2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</row>
    <row r="51" spans="1:7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2"/>
      <c r="N51" s="2"/>
      <c r="O51" s="2"/>
      <c r="P51" s="2"/>
      <c r="Q51" s="2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</row>
    <row r="52" spans="1:7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2"/>
      <c r="N52" s="2"/>
      <c r="O52" s="2"/>
      <c r="P52" s="2"/>
      <c r="Q52" s="2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</row>
    <row r="53" spans="1:7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2"/>
      <c r="N53" s="2"/>
      <c r="O53" s="2"/>
      <c r="P53" s="2"/>
      <c r="Q53" s="2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</row>
    <row r="54" spans="1:7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2"/>
      <c r="N54" s="2"/>
      <c r="O54" s="2"/>
      <c r="P54" s="2"/>
      <c r="Q54" s="2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</row>
    <row r="55" spans="1:7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2"/>
      <c r="N55" s="2"/>
      <c r="O55" s="2"/>
      <c r="P55" s="2"/>
      <c r="Q55" s="2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</row>
    <row r="56" spans="1:7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2"/>
      <c r="N56" s="2"/>
      <c r="O56" s="2"/>
      <c r="P56" s="2"/>
      <c r="Q56" s="2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</row>
    <row r="57" spans="1:7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2"/>
      <c r="N57" s="2"/>
      <c r="O57" s="2"/>
      <c r="P57" s="2"/>
      <c r="Q57" s="2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</row>
    <row r="58" spans="1:7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2"/>
      <c r="N58" s="2"/>
      <c r="O58" s="2"/>
      <c r="P58" s="2"/>
      <c r="Q58" s="2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</row>
    <row r="59" spans="1:7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2"/>
      <c r="N59" s="2"/>
      <c r="O59" s="2"/>
      <c r="P59" s="2"/>
      <c r="Q59" s="2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</row>
    <row r="60" spans="1:7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2"/>
      <c r="N60" s="2"/>
      <c r="O60" s="2"/>
      <c r="P60" s="2"/>
      <c r="Q60" s="2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</row>
    <row r="61" spans="1:7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2"/>
      <c r="N61" s="2"/>
      <c r="O61" s="2"/>
      <c r="P61" s="2"/>
      <c r="Q61" s="2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</row>
    <row r="62" spans="1:7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2"/>
      <c r="N62" s="2"/>
      <c r="O62" s="2"/>
      <c r="P62" s="2"/>
      <c r="Q62" s="2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</row>
    <row r="63" spans="1:7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2"/>
      <c r="N63" s="2"/>
      <c r="O63" s="2"/>
      <c r="P63" s="2"/>
      <c r="Q63" s="2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</row>
    <row r="64" spans="1:7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2"/>
      <c r="N64" s="2"/>
      <c r="O64" s="2"/>
      <c r="P64" s="2"/>
      <c r="Q64" s="2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</row>
    <row r="65" spans="1:7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2"/>
      <c r="N65" s="2"/>
      <c r="O65" s="2"/>
      <c r="P65" s="2"/>
      <c r="Q65" s="2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</row>
    <row r="66" spans="1:7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2"/>
      <c r="N66" s="2"/>
      <c r="O66" s="2"/>
      <c r="P66" s="2"/>
      <c r="Q66" s="2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</row>
    <row r="67" spans="1:7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2"/>
      <c r="N67" s="2"/>
      <c r="O67" s="2"/>
      <c r="P67" s="2"/>
      <c r="Q67" s="2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</row>
    <row r="68" spans="1:7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2"/>
      <c r="N68" s="2"/>
      <c r="O68" s="2"/>
      <c r="P68" s="2"/>
      <c r="Q68" s="2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</row>
    <row r="69" spans="1:7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2"/>
      <c r="N69" s="2"/>
      <c r="O69" s="2"/>
      <c r="P69" s="2"/>
      <c r="Q69" s="2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</row>
    <row r="70" spans="1:7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2"/>
      <c r="N70" s="2"/>
      <c r="O70" s="2"/>
      <c r="P70" s="2"/>
      <c r="Q70" s="2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</row>
    <row r="71" spans="1: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2"/>
      <c r="N71" s="2"/>
      <c r="O71" s="2"/>
      <c r="P71" s="2"/>
      <c r="Q71" s="2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</row>
    <row r="72" spans="1:7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2"/>
      <c r="N72" s="2"/>
      <c r="O72" s="2"/>
      <c r="P72" s="2"/>
      <c r="Q72" s="2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</row>
    <row r="73" spans="1:7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2"/>
      <c r="N73" s="2"/>
      <c r="O73" s="2"/>
      <c r="P73" s="2"/>
      <c r="Q73" s="2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</row>
    <row r="74" spans="1:7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2"/>
      <c r="N74" s="2"/>
      <c r="O74" s="2"/>
      <c r="P74" s="2"/>
      <c r="Q74" s="2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</row>
    <row r="75" spans="1:7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2"/>
      <c r="N75" s="2"/>
      <c r="O75" s="2"/>
      <c r="P75" s="2"/>
      <c r="Q75" s="2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</row>
    <row r="76" spans="1:7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2"/>
      <c r="N76" s="2"/>
      <c r="O76" s="2"/>
      <c r="P76" s="2"/>
      <c r="Q76" s="2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</row>
    <row r="77" spans="1:7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"/>
      <c r="N77" s="2"/>
      <c r="O77" s="2"/>
      <c r="P77" s="2"/>
      <c r="Q77" s="2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</row>
    <row r="78" spans="1:7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2"/>
      <c r="N78" s="2"/>
      <c r="O78" s="2"/>
      <c r="P78" s="2"/>
      <c r="Q78" s="2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</row>
    <row r="79" spans="1:7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2"/>
      <c r="N79" s="2"/>
      <c r="O79" s="2"/>
      <c r="P79" s="2"/>
      <c r="Q79" s="2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</row>
    <row r="80" spans="1:7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2"/>
      <c r="N80" s="2"/>
      <c r="O80" s="2"/>
      <c r="P80" s="2"/>
      <c r="Q80" s="2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</row>
    <row r="81" spans="1:7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2"/>
      <c r="N81" s="2"/>
      <c r="O81" s="2"/>
      <c r="P81" s="2"/>
      <c r="Q81" s="2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</row>
    <row r="82" spans="1:7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"/>
      <c r="N82" s="2"/>
      <c r="O82" s="2"/>
      <c r="P82" s="2"/>
      <c r="Q82" s="2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</row>
    <row r="83" spans="1:7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2"/>
      <c r="N83" s="2"/>
      <c r="O83" s="2"/>
      <c r="P83" s="2"/>
      <c r="Q83" s="2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</row>
    <row r="84" spans="1:7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2"/>
      <c r="N84" s="2"/>
      <c r="O84" s="2"/>
      <c r="P84" s="2"/>
      <c r="Q84" s="2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</row>
    <row r="85" spans="1:7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2"/>
      <c r="N85" s="2"/>
      <c r="O85" s="2"/>
      <c r="P85" s="2"/>
      <c r="Q85" s="2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</row>
    <row r="86" spans="1:7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2"/>
      <c r="N86" s="2"/>
      <c r="O86" s="2"/>
      <c r="P86" s="2"/>
      <c r="Q86" s="2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</row>
    <row r="87" spans="1:7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2"/>
      <c r="N87" s="2"/>
      <c r="O87" s="2"/>
      <c r="P87" s="2"/>
      <c r="Q87" s="2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</row>
    <row r="88" spans="1:7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2"/>
      <c r="N88" s="2"/>
      <c r="O88" s="2"/>
      <c r="P88" s="2"/>
      <c r="Q88" s="2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</row>
    <row r="89" spans="1:7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"/>
      <c r="N89" s="2"/>
      <c r="O89" s="2"/>
      <c r="P89" s="2"/>
      <c r="Q89" s="2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</row>
    <row r="90" spans="1:7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"/>
      <c r="N90" s="2"/>
      <c r="O90" s="2"/>
      <c r="P90" s="2"/>
      <c r="Q90" s="2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</row>
    <row r="91" spans="1:7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"/>
      <c r="N91" s="2"/>
      <c r="O91" s="2"/>
      <c r="P91" s="2"/>
      <c r="Q91" s="2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</row>
    <row r="92" spans="1:7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"/>
      <c r="N92" s="2"/>
      <c r="O92" s="2"/>
      <c r="P92" s="2"/>
      <c r="Q92" s="2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</row>
    <row r="93" spans="1:7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"/>
      <c r="N93" s="2"/>
      <c r="O93" s="2"/>
      <c r="P93" s="2"/>
      <c r="Q93" s="2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</row>
    <row r="94" spans="1:7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"/>
      <c r="N94" s="2"/>
      <c r="O94" s="2"/>
      <c r="P94" s="2"/>
      <c r="Q94" s="2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</row>
    <row r="95" spans="1:7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"/>
      <c r="N95" s="2"/>
      <c r="O95" s="2"/>
      <c r="P95" s="2"/>
      <c r="Q95" s="2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</row>
    <row r="96" spans="1:7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"/>
      <c r="N96" s="2"/>
      <c r="O96" s="2"/>
      <c r="P96" s="2"/>
      <c r="Q96" s="2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</row>
    <row r="97" spans="1:7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"/>
      <c r="N97" s="2"/>
      <c r="O97" s="2"/>
      <c r="P97" s="2"/>
      <c r="Q97" s="2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</row>
    <row r="98" spans="1:7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2"/>
      <c r="N98" s="2"/>
      <c r="O98" s="2"/>
      <c r="P98" s="2"/>
      <c r="Q98" s="2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</row>
  </sheetData>
  <mergeCells count="8">
    <mergeCell ref="C11:F11"/>
    <mergeCell ref="C12:F12"/>
    <mergeCell ref="C6:F6"/>
    <mergeCell ref="C7:F7"/>
    <mergeCell ref="AP7:AT8"/>
    <mergeCell ref="C8:F8"/>
    <mergeCell ref="C9:F9"/>
    <mergeCell ref="C10:F10"/>
  </mergeCells>
  <printOptions horizontalCentered="1" gridLines="1"/>
  <pageMargins left="0.17" right="0.16" top="0.42" bottom="0.17" header="0.17" footer="0.17"/>
  <pageSetup scale="42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B98"/>
  <sheetViews>
    <sheetView zoomScale="60" zoomScaleNormal="60" workbookViewId="0">
      <pane xSplit="17" ySplit="14" topLeftCell="R15" activePane="bottomRight" state="frozen"/>
      <selection pane="bottomRight" activeCell="B15" sqref="B15"/>
      <selection pane="bottomLeft" activeCell="T16" sqref="T16"/>
      <selection pane="topRight" activeCell="T16" sqref="T16"/>
    </sheetView>
  </sheetViews>
  <sheetFormatPr defaultRowHeight="20.25"/>
  <cols>
    <col min="1" max="1" width="4.5703125" style="3" customWidth="1"/>
    <col min="2" max="2" width="40.7109375" style="3" customWidth="1"/>
    <col min="3" max="9" width="4.7109375" style="3" customWidth="1"/>
    <col min="10" max="10" width="5" style="3" customWidth="1"/>
    <col min="11" max="12" width="4.7109375" style="3" customWidth="1"/>
    <col min="13" max="13" width="6.5703125" style="5" bestFit="1" customWidth="1"/>
    <col min="14" max="14" width="4.7109375" style="5" customWidth="1"/>
    <col min="15" max="15" width="6.5703125" style="5" bestFit="1" customWidth="1"/>
    <col min="16" max="17" width="4.7109375" style="5" customWidth="1"/>
    <col min="18" max="60" width="4.7109375" style="3" customWidth="1"/>
    <col min="61" max="78" width="3.28515625" style="3" customWidth="1"/>
    <col min="79" max="79" width="3" style="3" customWidth="1"/>
    <col min="80" max="80" width="3.28515625" style="3" customWidth="1"/>
    <col min="81" max="271" width="8.7109375" style="3"/>
    <col min="272" max="272" width="20" style="3" customWidth="1"/>
    <col min="273" max="273" width="42.5703125" style="3" customWidth="1"/>
    <col min="274" max="281" width="3.28515625" style="3" customWidth="1"/>
    <col min="282" max="282" width="4.7109375" style="3" customWidth="1"/>
    <col min="283" max="290" width="3.28515625" style="3" customWidth="1"/>
    <col min="291" max="291" width="4.140625" style="3" customWidth="1"/>
    <col min="292" max="324" width="3.28515625" style="3" customWidth="1"/>
    <col min="325" max="325" width="39.7109375" style="3" customWidth="1"/>
    <col min="326" max="527" width="8.7109375" style="3"/>
    <col min="528" max="528" width="20" style="3" customWidth="1"/>
    <col min="529" max="529" width="42.5703125" style="3" customWidth="1"/>
    <col min="530" max="537" width="3.28515625" style="3" customWidth="1"/>
    <col min="538" max="538" width="4.7109375" style="3" customWidth="1"/>
    <col min="539" max="546" width="3.28515625" style="3" customWidth="1"/>
    <col min="547" max="547" width="4.140625" style="3" customWidth="1"/>
    <col min="548" max="580" width="3.28515625" style="3" customWidth="1"/>
    <col min="581" max="581" width="39.7109375" style="3" customWidth="1"/>
    <col min="582" max="783" width="8.7109375" style="3"/>
    <col min="784" max="784" width="20" style="3" customWidth="1"/>
    <col min="785" max="785" width="42.5703125" style="3" customWidth="1"/>
    <col min="786" max="793" width="3.28515625" style="3" customWidth="1"/>
    <col min="794" max="794" width="4.7109375" style="3" customWidth="1"/>
    <col min="795" max="802" width="3.28515625" style="3" customWidth="1"/>
    <col min="803" max="803" width="4.140625" style="3" customWidth="1"/>
    <col min="804" max="836" width="3.28515625" style="3" customWidth="1"/>
    <col min="837" max="837" width="39.7109375" style="3" customWidth="1"/>
    <col min="838" max="1039" width="8.7109375" style="3"/>
    <col min="1040" max="1040" width="20" style="3" customWidth="1"/>
    <col min="1041" max="1041" width="42.5703125" style="3" customWidth="1"/>
    <col min="1042" max="1049" width="3.28515625" style="3" customWidth="1"/>
    <col min="1050" max="1050" width="4.7109375" style="3" customWidth="1"/>
    <col min="1051" max="1058" width="3.28515625" style="3" customWidth="1"/>
    <col min="1059" max="1059" width="4.140625" style="3" customWidth="1"/>
    <col min="1060" max="1092" width="3.28515625" style="3" customWidth="1"/>
    <col min="1093" max="1093" width="39.7109375" style="3" customWidth="1"/>
    <col min="1094" max="1295" width="8.7109375" style="3"/>
    <col min="1296" max="1296" width="20" style="3" customWidth="1"/>
    <col min="1297" max="1297" width="42.5703125" style="3" customWidth="1"/>
    <col min="1298" max="1305" width="3.28515625" style="3" customWidth="1"/>
    <col min="1306" max="1306" width="4.7109375" style="3" customWidth="1"/>
    <col min="1307" max="1314" width="3.28515625" style="3" customWidth="1"/>
    <col min="1315" max="1315" width="4.140625" style="3" customWidth="1"/>
    <col min="1316" max="1348" width="3.28515625" style="3" customWidth="1"/>
    <col min="1349" max="1349" width="39.7109375" style="3" customWidth="1"/>
    <col min="1350" max="1551" width="8.7109375" style="3"/>
    <col min="1552" max="1552" width="20" style="3" customWidth="1"/>
    <col min="1553" max="1553" width="42.5703125" style="3" customWidth="1"/>
    <col min="1554" max="1561" width="3.28515625" style="3" customWidth="1"/>
    <col min="1562" max="1562" width="4.7109375" style="3" customWidth="1"/>
    <col min="1563" max="1570" width="3.28515625" style="3" customWidth="1"/>
    <col min="1571" max="1571" width="4.140625" style="3" customWidth="1"/>
    <col min="1572" max="1604" width="3.28515625" style="3" customWidth="1"/>
    <col min="1605" max="1605" width="39.7109375" style="3" customWidth="1"/>
    <col min="1606" max="1807" width="8.7109375" style="3"/>
    <col min="1808" max="1808" width="20" style="3" customWidth="1"/>
    <col min="1809" max="1809" width="42.5703125" style="3" customWidth="1"/>
    <col min="1810" max="1817" width="3.28515625" style="3" customWidth="1"/>
    <col min="1818" max="1818" width="4.7109375" style="3" customWidth="1"/>
    <col min="1819" max="1826" width="3.28515625" style="3" customWidth="1"/>
    <col min="1827" max="1827" width="4.140625" style="3" customWidth="1"/>
    <col min="1828" max="1860" width="3.28515625" style="3" customWidth="1"/>
    <col min="1861" max="1861" width="39.7109375" style="3" customWidth="1"/>
    <col min="1862" max="2063" width="8.7109375" style="3"/>
    <col min="2064" max="2064" width="20" style="3" customWidth="1"/>
    <col min="2065" max="2065" width="42.5703125" style="3" customWidth="1"/>
    <col min="2066" max="2073" width="3.28515625" style="3" customWidth="1"/>
    <col min="2074" max="2074" width="4.7109375" style="3" customWidth="1"/>
    <col min="2075" max="2082" width="3.28515625" style="3" customWidth="1"/>
    <col min="2083" max="2083" width="4.140625" style="3" customWidth="1"/>
    <col min="2084" max="2116" width="3.28515625" style="3" customWidth="1"/>
    <col min="2117" max="2117" width="39.7109375" style="3" customWidth="1"/>
    <col min="2118" max="2319" width="8.7109375" style="3"/>
    <col min="2320" max="2320" width="20" style="3" customWidth="1"/>
    <col min="2321" max="2321" width="42.5703125" style="3" customWidth="1"/>
    <col min="2322" max="2329" width="3.28515625" style="3" customWidth="1"/>
    <col min="2330" max="2330" width="4.7109375" style="3" customWidth="1"/>
    <col min="2331" max="2338" width="3.28515625" style="3" customWidth="1"/>
    <col min="2339" max="2339" width="4.140625" style="3" customWidth="1"/>
    <col min="2340" max="2372" width="3.28515625" style="3" customWidth="1"/>
    <col min="2373" max="2373" width="39.7109375" style="3" customWidth="1"/>
    <col min="2374" max="2575" width="8.7109375" style="3"/>
    <col min="2576" max="2576" width="20" style="3" customWidth="1"/>
    <col min="2577" max="2577" width="42.5703125" style="3" customWidth="1"/>
    <col min="2578" max="2585" width="3.28515625" style="3" customWidth="1"/>
    <col min="2586" max="2586" width="4.7109375" style="3" customWidth="1"/>
    <col min="2587" max="2594" width="3.28515625" style="3" customWidth="1"/>
    <col min="2595" max="2595" width="4.140625" style="3" customWidth="1"/>
    <col min="2596" max="2628" width="3.28515625" style="3" customWidth="1"/>
    <col min="2629" max="2629" width="39.7109375" style="3" customWidth="1"/>
    <col min="2630" max="2831" width="8.7109375" style="3"/>
    <col min="2832" max="2832" width="20" style="3" customWidth="1"/>
    <col min="2833" max="2833" width="42.5703125" style="3" customWidth="1"/>
    <col min="2834" max="2841" width="3.28515625" style="3" customWidth="1"/>
    <col min="2842" max="2842" width="4.7109375" style="3" customWidth="1"/>
    <col min="2843" max="2850" width="3.28515625" style="3" customWidth="1"/>
    <col min="2851" max="2851" width="4.140625" style="3" customWidth="1"/>
    <col min="2852" max="2884" width="3.28515625" style="3" customWidth="1"/>
    <col min="2885" max="2885" width="39.7109375" style="3" customWidth="1"/>
    <col min="2886" max="3087" width="8.7109375" style="3"/>
    <col min="3088" max="3088" width="20" style="3" customWidth="1"/>
    <col min="3089" max="3089" width="42.5703125" style="3" customWidth="1"/>
    <col min="3090" max="3097" width="3.28515625" style="3" customWidth="1"/>
    <col min="3098" max="3098" width="4.7109375" style="3" customWidth="1"/>
    <col min="3099" max="3106" width="3.28515625" style="3" customWidth="1"/>
    <col min="3107" max="3107" width="4.140625" style="3" customWidth="1"/>
    <col min="3108" max="3140" width="3.28515625" style="3" customWidth="1"/>
    <col min="3141" max="3141" width="39.7109375" style="3" customWidth="1"/>
    <col min="3142" max="3343" width="8.7109375" style="3"/>
    <col min="3344" max="3344" width="20" style="3" customWidth="1"/>
    <col min="3345" max="3345" width="42.5703125" style="3" customWidth="1"/>
    <col min="3346" max="3353" width="3.28515625" style="3" customWidth="1"/>
    <col min="3354" max="3354" width="4.7109375" style="3" customWidth="1"/>
    <col min="3355" max="3362" width="3.28515625" style="3" customWidth="1"/>
    <col min="3363" max="3363" width="4.140625" style="3" customWidth="1"/>
    <col min="3364" max="3396" width="3.28515625" style="3" customWidth="1"/>
    <col min="3397" max="3397" width="39.7109375" style="3" customWidth="1"/>
    <col min="3398" max="3599" width="8.7109375" style="3"/>
    <col min="3600" max="3600" width="20" style="3" customWidth="1"/>
    <col min="3601" max="3601" width="42.5703125" style="3" customWidth="1"/>
    <col min="3602" max="3609" width="3.28515625" style="3" customWidth="1"/>
    <col min="3610" max="3610" width="4.7109375" style="3" customWidth="1"/>
    <col min="3611" max="3618" width="3.28515625" style="3" customWidth="1"/>
    <col min="3619" max="3619" width="4.140625" style="3" customWidth="1"/>
    <col min="3620" max="3652" width="3.28515625" style="3" customWidth="1"/>
    <col min="3653" max="3653" width="39.7109375" style="3" customWidth="1"/>
    <col min="3654" max="3855" width="8.7109375" style="3"/>
    <col min="3856" max="3856" width="20" style="3" customWidth="1"/>
    <col min="3857" max="3857" width="42.5703125" style="3" customWidth="1"/>
    <col min="3858" max="3865" width="3.28515625" style="3" customWidth="1"/>
    <col min="3866" max="3866" width="4.7109375" style="3" customWidth="1"/>
    <col min="3867" max="3874" width="3.28515625" style="3" customWidth="1"/>
    <col min="3875" max="3875" width="4.140625" style="3" customWidth="1"/>
    <col min="3876" max="3908" width="3.28515625" style="3" customWidth="1"/>
    <col min="3909" max="3909" width="39.7109375" style="3" customWidth="1"/>
    <col min="3910" max="4111" width="8.7109375" style="3"/>
    <col min="4112" max="4112" width="20" style="3" customWidth="1"/>
    <col min="4113" max="4113" width="42.5703125" style="3" customWidth="1"/>
    <col min="4114" max="4121" width="3.28515625" style="3" customWidth="1"/>
    <col min="4122" max="4122" width="4.7109375" style="3" customWidth="1"/>
    <col min="4123" max="4130" width="3.28515625" style="3" customWidth="1"/>
    <col min="4131" max="4131" width="4.140625" style="3" customWidth="1"/>
    <col min="4132" max="4164" width="3.28515625" style="3" customWidth="1"/>
    <col min="4165" max="4165" width="39.7109375" style="3" customWidth="1"/>
    <col min="4166" max="4367" width="8.7109375" style="3"/>
    <col min="4368" max="4368" width="20" style="3" customWidth="1"/>
    <col min="4369" max="4369" width="42.5703125" style="3" customWidth="1"/>
    <col min="4370" max="4377" width="3.28515625" style="3" customWidth="1"/>
    <col min="4378" max="4378" width="4.7109375" style="3" customWidth="1"/>
    <col min="4379" max="4386" width="3.28515625" style="3" customWidth="1"/>
    <col min="4387" max="4387" width="4.140625" style="3" customWidth="1"/>
    <col min="4388" max="4420" width="3.28515625" style="3" customWidth="1"/>
    <col min="4421" max="4421" width="39.7109375" style="3" customWidth="1"/>
    <col min="4422" max="4623" width="8.7109375" style="3"/>
    <col min="4624" max="4624" width="20" style="3" customWidth="1"/>
    <col min="4625" max="4625" width="42.5703125" style="3" customWidth="1"/>
    <col min="4626" max="4633" width="3.28515625" style="3" customWidth="1"/>
    <col min="4634" max="4634" width="4.7109375" style="3" customWidth="1"/>
    <col min="4635" max="4642" width="3.28515625" style="3" customWidth="1"/>
    <col min="4643" max="4643" width="4.140625" style="3" customWidth="1"/>
    <col min="4644" max="4676" width="3.28515625" style="3" customWidth="1"/>
    <col min="4677" max="4677" width="39.7109375" style="3" customWidth="1"/>
    <col min="4678" max="4879" width="8.7109375" style="3"/>
    <col min="4880" max="4880" width="20" style="3" customWidth="1"/>
    <col min="4881" max="4881" width="42.5703125" style="3" customWidth="1"/>
    <col min="4882" max="4889" width="3.28515625" style="3" customWidth="1"/>
    <col min="4890" max="4890" width="4.7109375" style="3" customWidth="1"/>
    <col min="4891" max="4898" width="3.28515625" style="3" customWidth="1"/>
    <col min="4899" max="4899" width="4.140625" style="3" customWidth="1"/>
    <col min="4900" max="4932" width="3.28515625" style="3" customWidth="1"/>
    <col min="4933" max="4933" width="39.7109375" style="3" customWidth="1"/>
    <col min="4934" max="5135" width="8.7109375" style="3"/>
    <col min="5136" max="5136" width="20" style="3" customWidth="1"/>
    <col min="5137" max="5137" width="42.5703125" style="3" customWidth="1"/>
    <col min="5138" max="5145" width="3.28515625" style="3" customWidth="1"/>
    <col min="5146" max="5146" width="4.7109375" style="3" customWidth="1"/>
    <col min="5147" max="5154" width="3.28515625" style="3" customWidth="1"/>
    <col min="5155" max="5155" width="4.140625" style="3" customWidth="1"/>
    <col min="5156" max="5188" width="3.28515625" style="3" customWidth="1"/>
    <col min="5189" max="5189" width="39.7109375" style="3" customWidth="1"/>
    <col min="5190" max="5391" width="8.7109375" style="3"/>
    <col min="5392" max="5392" width="20" style="3" customWidth="1"/>
    <col min="5393" max="5393" width="42.5703125" style="3" customWidth="1"/>
    <col min="5394" max="5401" width="3.28515625" style="3" customWidth="1"/>
    <col min="5402" max="5402" width="4.7109375" style="3" customWidth="1"/>
    <col min="5403" max="5410" width="3.28515625" style="3" customWidth="1"/>
    <col min="5411" max="5411" width="4.140625" style="3" customWidth="1"/>
    <col min="5412" max="5444" width="3.28515625" style="3" customWidth="1"/>
    <col min="5445" max="5445" width="39.7109375" style="3" customWidth="1"/>
    <col min="5446" max="5647" width="8.7109375" style="3"/>
    <col min="5648" max="5648" width="20" style="3" customWidth="1"/>
    <col min="5649" max="5649" width="42.5703125" style="3" customWidth="1"/>
    <col min="5650" max="5657" width="3.28515625" style="3" customWidth="1"/>
    <col min="5658" max="5658" width="4.7109375" style="3" customWidth="1"/>
    <col min="5659" max="5666" width="3.28515625" style="3" customWidth="1"/>
    <col min="5667" max="5667" width="4.140625" style="3" customWidth="1"/>
    <col min="5668" max="5700" width="3.28515625" style="3" customWidth="1"/>
    <col min="5701" max="5701" width="39.7109375" style="3" customWidth="1"/>
    <col min="5702" max="5903" width="8.7109375" style="3"/>
    <col min="5904" max="5904" width="20" style="3" customWidth="1"/>
    <col min="5905" max="5905" width="42.5703125" style="3" customWidth="1"/>
    <col min="5906" max="5913" width="3.28515625" style="3" customWidth="1"/>
    <col min="5914" max="5914" width="4.7109375" style="3" customWidth="1"/>
    <col min="5915" max="5922" width="3.28515625" style="3" customWidth="1"/>
    <col min="5923" max="5923" width="4.140625" style="3" customWidth="1"/>
    <col min="5924" max="5956" width="3.28515625" style="3" customWidth="1"/>
    <col min="5957" max="5957" width="39.7109375" style="3" customWidth="1"/>
    <col min="5958" max="6159" width="8.7109375" style="3"/>
    <col min="6160" max="6160" width="20" style="3" customWidth="1"/>
    <col min="6161" max="6161" width="42.5703125" style="3" customWidth="1"/>
    <col min="6162" max="6169" width="3.28515625" style="3" customWidth="1"/>
    <col min="6170" max="6170" width="4.7109375" style="3" customWidth="1"/>
    <col min="6171" max="6178" width="3.28515625" style="3" customWidth="1"/>
    <col min="6179" max="6179" width="4.140625" style="3" customWidth="1"/>
    <col min="6180" max="6212" width="3.28515625" style="3" customWidth="1"/>
    <col min="6213" max="6213" width="39.7109375" style="3" customWidth="1"/>
    <col min="6214" max="6415" width="8.7109375" style="3"/>
    <col min="6416" max="6416" width="20" style="3" customWidth="1"/>
    <col min="6417" max="6417" width="42.5703125" style="3" customWidth="1"/>
    <col min="6418" max="6425" width="3.28515625" style="3" customWidth="1"/>
    <col min="6426" max="6426" width="4.7109375" style="3" customWidth="1"/>
    <col min="6427" max="6434" width="3.28515625" style="3" customWidth="1"/>
    <col min="6435" max="6435" width="4.140625" style="3" customWidth="1"/>
    <col min="6436" max="6468" width="3.28515625" style="3" customWidth="1"/>
    <col min="6469" max="6469" width="39.7109375" style="3" customWidth="1"/>
    <col min="6470" max="6671" width="8.7109375" style="3"/>
    <col min="6672" max="6672" width="20" style="3" customWidth="1"/>
    <col min="6673" max="6673" width="42.5703125" style="3" customWidth="1"/>
    <col min="6674" max="6681" width="3.28515625" style="3" customWidth="1"/>
    <col min="6682" max="6682" width="4.7109375" style="3" customWidth="1"/>
    <col min="6683" max="6690" width="3.28515625" style="3" customWidth="1"/>
    <col min="6691" max="6691" width="4.140625" style="3" customWidth="1"/>
    <col min="6692" max="6724" width="3.28515625" style="3" customWidth="1"/>
    <col min="6725" max="6725" width="39.7109375" style="3" customWidth="1"/>
    <col min="6726" max="6927" width="8.7109375" style="3"/>
    <col min="6928" max="6928" width="20" style="3" customWidth="1"/>
    <col min="6929" max="6929" width="42.5703125" style="3" customWidth="1"/>
    <col min="6930" max="6937" width="3.28515625" style="3" customWidth="1"/>
    <col min="6938" max="6938" width="4.7109375" style="3" customWidth="1"/>
    <col min="6939" max="6946" width="3.28515625" style="3" customWidth="1"/>
    <col min="6947" max="6947" width="4.140625" style="3" customWidth="1"/>
    <col min="6948" max="6980" width="3.28515625" style="3" customWidth="1"/>
    <col min="6981" max="6981" width="39.7109375" style="3" customWidth="1"/>
    <col min="6982" max="7183" width="8.7109375" style="3"/>
    <col min="7184" max="7184" width="20" style="3" customWidth="1"/>
    <col min="7185" max="7185" width="42.5703125" style="3" customWidth="1"/>
    <col min="7186" max="7193" width="3.28515625" style="3" customWidth="1"/>
    <col min="7194" max="7194" width="4.7109375" style="3" customWidth="1"/>
    <col min="7195" max="7202" width="3.28515625" style="3" customWidth="1"/>
    <col min="7203" max="7203" width="4.140625" style="3" customWidth="1"/>
    <col min="7204" max="7236" width="3.28515625" style="3" customWidth="1"/>
    <col min="7237" max="7237" width="39.7109375" style="3" customWidth="1"/>
    <col min="7238" max="7439" width="8.7109375" style="3"/>
    <col min="7440" max="7440" width="20" style="3" customWidth="1"/>
    <col min="7441" max="7441" width="42.5703125" style="3" customWidth="1"/>
    <col min="7442" max="7449" width="3.28515625" style="3" customWidth="1"/>
    <col min="7450" max="7450" width="4.7109375" style="3" customWidth="1"/>
    <col min="7451" max="7458" width="3.28515625" style="3" customWidth="1"/>
    <col min="7459" max="7459" width="4.140625" style="3" customWidth="1"/>
    <col min="7460" max="7492" width="3.28515625" style="3" customWidth="1"/>
    <col min="7493" max="7493" width="39.7109375" style="3" customWidth="1"/>
    <col min="7494" max="7695" width="8.7109375" style="3"/>
    <col min="7696" max="7696" width="20" style="3" customWidth="1"/>
    <col min="7697" max="7697" width="42.5703125" style="3" customWidth="1"/>
    <col min="7698" max="7705" width="3.28515625" style="3" customWidth="1"/>
    <col min="7706" max="7706" width="4.7109375" style="3" customWidth="1"/>
    <col min="7707" max="7714" width="3.28515625" style="3" customWidth="1"/>
    <col min="7715" max="7715" width="4.140625" style="3" customWidth="1"/>
    <col min="7716" max="7748" width="3.28515625" style="3" customWidth="1"/>
    <col min="7749" max="7749" width="39.7109375" style="3" customWidth="1"/>
    <col min="7750" max="7951" width="8.7109375" style="3"/>
    <col min="7952" max="7952" width="20" style="3" customWidth="1"/>
    <col min="7953" max="7953" width="42.5703125" style="3" customWidth="1"/>
    <col min="7954" max="7961" width="3.28515625" style="3" customWidth="1"/>
    <col min="7962" max="7962" width="4.7109375" style="3" customWidth="1"/>
    <col min="7963" max="7970" width="3.28515625" style="3" customWidth="1"/>
    <col min="7971" max="7971" width="4.140625" style="3" customWidth="1"/>
    <col min="7972" max="8004" width="3.28515625" style="3" customWidth="1"/>
    <col min="8005" max="8005" width="39.7109375" style="3" customWidth="1"/>
    <col min="8006" max="8207" width="8.7109375" style="3"/>
    <col min="8208" max="8208" width="20" style="3" customWidth="1"/>
    <col min="8209" max="8209" width="42.5703125" style="3" customWidth="1"/>
    <col min="8210" max="8217" width="3.28515625" style="3" customWidth="1"/>
    <col min="8218" max="8218" width="4.7109375" style="3" customWidth="1"/>
    <col min="8219" max="8226" width="3.28515625" style="3" customWidth="1"/>
    <col min="8227" max="8227" width="4.140625" style="3" customWidth="1"/>
    <col min="8228" max="8260" width="3.28515625" style="3" customWidth="1"/>
    <col min="8261" max="8261" width="39.7109375" style="3" customWidth="1"/>
    <col min="8262" max="8463" width="8.7109375" style="3"/>
    <col min="8464" max="8464" width="20" style="3" customWidth="1"/>
    <col min="8465" max="8465" width="42.5703125" style="3" customWidth="1"/>
    <col min="8466" max="8473" width="3.28515625" style="3" customWidth="1"/>
    <col min="8474" max="8474" width="4.7109375" style="3" customWidth="1"/>
    <col min="8475" max="8482" width="3.28515625" style="3" customWidth="1"/>
    <col min="8483" max="8483" width="4.140625" style="3" customWidth="1"/>
    <col min="8484" max="8516" width="3.28515625" style="3" customWidth="1"/>
    <col min="8517" max="8517" width="39.7109375" style="3" customWidth="1"/>
    <col min="8518" max="8719" width="8.7109375" style="3"/>
    <col min="8720" max="8720" width="20" style="3" customWidth="1"/>
    <col min="8721" max="8721" width="42.5703125" style="3" customWidth="1"/>
    <col min="8722" max="8729" width="3.28515625" style="3" customWidth="1"/>
    <col min="8730" max="8730" width="4.7109375" style="3" customWidth="1"/>
    <col min="8731" max="8738" width="3.28515625" style="3" customWidth="1"/>
    <col min="8739" max="8739" width="4.140625" style="3" customWidth="1"/>
    <col min="8740" max="8772" width="3.28515625" style="3" customWidth="1"/>
    <col min="8773" max="8773" width="39.7109375" style="3" customWidth="1"/>
    <col min="8774" max="8975" width="8.7109375" style="3"/>
    <col min="8976" max="8976" width="20" style="3" customWidth="1"/>
    <col min="8977" max="8977" width="42.5703125" style="3" customWidth="1"/>
    <col min="8978" max="8985" width="3.28515625" style="3" customWidth="1"/>
    <col min="8986" max="8986" width="4.7109375" style="3" customWidth="1"/>
    <col min="8987" max="8994" width="3.28515625" style="3" customWidth="1"/>
    <col min="8995" max="8995" width="4.140625" style="3" customWidth="1"/>
    <col min="8996" max="9028" width="3.28515625" style="3" customWidth="1"/>
    <col min="9029" max="9029" width="39.7109375" style="3" customWidth="1"/>
    <col min="9030" max="9231" width="8.7109375" style="3"/>
    <col min="9232" max="9232" width="20" style="3" customWidth="1"/>
    <col min="9233" max="9233" width="42.5703125" style="3" customWidth="1"/>
    <col min="9234" max="9241" width="3.28515625" style="3" customWidth="1"/>
    <col min="9242" max="9242" width="4.7109375" style="3" customWidth="1"/>
    <col min="9243" max="9250" width="3.28515625" style="3" customWidth="1"/>
    <col min="9251" max="9251" width="4.140625" style="3" customWidth="1"/>
    <col min="9252" max="9284" width="3.28515625" style="3" customWidth="1"/>
    <col min="9285" max="9285" width="39.7109375" style="3" customWidth="1"/>
    <col min="9286" max="9487" width="8.7109375" style="3"/>
    <col min="9488" max="9488" width="20" style="3" customWidth="1"/>
    <col min="9489" max="9489" width="42.5703125" style="3" customWidth="1"/>
    <col min="9490" max="9497" width="3.28515625" style="3" customWidth="1"/>
    <col min="9498" max="9498" width="4.7109375" style="3" customWidth="1"/>
    <col min="9499" max="9506" width="3.28515625" style="3" customWidth="1"/>
    <col min="9507" max="9507" width="4.140625" style="3" customWidth="1"/>
    <col min="9508" max="9540" width="3.28515625" style="3" customWidth="1"/>
    <col min="9541" max="9541" width="39.7109375" style="3" customWidth="1"/>
    <col min="9542" max="9743" width="8.7109375" style="3"/>
    <col min="9744" max="9744" width="20" style="3" customWidth="1"/>
    <col min="9745" max="9745" width="42.5703125" style="3" customWidth="1"/>
    <col min="9746" max="9753" width="3.28515625" style="3" customWidth="1"/>
    <col min="9754" max="9754" width="4.7109375" style="3" customWidth="1"/>
    <col min="9755" max="9762" width="3.28515625" style="3" customWidth="1"/>
    <col min="9763" max="9763" width="4.140625" style="3" customWidth="1"/>
    <col min="9764" max="9796" width="3.28515625" style="3" customWidth="1"/>
    <col min="9797" max="9797" width="39.7109375" style="3" customWidth="1"/>
    <col min="9798" max="9999" width="8.7109375" style="3"/>
    <col min="10000" max="10000" width="20" style="3" customWidth="1"/>
    <col min="10001" max="10001" width="42.5703125" style="3" customWidth="1"/>
    <col min="10002" max="10009" width="3.28515625" style="3" customWidth="1"/>
    <col min="10010" max="10010" width="4.7109375" style="3" customWidth="1"/>
    <col min="10011" max="10018" width="3.28515625" style="3" customWidth="1"/>
    <col min="10019" max="10019" width="4.140625" style="3" customWidth="1"/>
    <col min="10020" max="10052" width="3.28515625" style="3" customWidth="1"/>
    <col min="10053" max="10053" width="39.7109375" style="3" customWidth="1"/>
    <col min="10054" max="10255" width="8.7109375" style="3"/>
    <col min="10256" max="10256" width="20" style="3" customWidth="1"/>
    <col min="10257" max="10257" width="42.5703125" style="3" customWidth="1"/>
    <col min="10258" max="10265" width="3.28515625" style="3" customWidth="1"/>
    <col min="10266" max="10266" width="4.7109375" style="3" customWidth="1"/>
    <col min="10267" max="10274" width="3.28515625" style="3" customWidth="1"/>
    <col min="10275" max="10275" width="4.140625" style="3" customWidth="1"/>
    <col min="10276" max="10308" width="3.28515625" style="3" customWidth="1"/>
    <col min="10309" max="10309" width="39.7109375" style="3" customWidth="1"/>
    <col min="10310" max="10511" width="8.7109375" style="3"/>
    <col min="10512" max="10512" width="20" style="3" customWidth="1"/>
    <col min="10513" max="10513" width="42.5703125" style="3" customWidth="1"/>
    <col min="10514" max="10521" width="3.28515625" style="3" customWidth="1"/>
    <col min="10522" max="10522" width="4.7109375" style="3" customWidth="1"/>
    <col min="10523" max="10530" width="3.28515625" style="3" customWidth="1"/>
    <col min="10531" max="10531" width="4.140625" style="3" customWidth="1"/>
    <col min="10532" max="10564" width="3.28515625" style="3" customWidth="1"/>
    <col min="10565" max="10565" width="39.7109375" style="3" customWidth="1"/>
    <col min="10566" max="10767" width="8.7109375" style="3"/>
    <col min="10768" max="10768" width="20" style="3" customWidth="1"/>
    <col min="10769" max="10769" width="42.5703125" style="3" customWidth="1"/>
    <col min="10770" max="10777" width="3.28515625" style="3" customWidth="1"/>
    <col min="10778" max="10778" width="4.7109375" style="3" customWidth="1"/>
    <col min="10779" max="10786" width="3.28515625" style="3" customWidth="1"/>
    <col min="10787" max="10787" width="4.140625" style="3" customWidth="1"/>
    <col min="10788" max="10820" width="3.28515625" style="3" customWidth="1"/>
    <col min="10821" max="10821" width="39.7109375" style="3" customWidth="1"/>
    <col min="10822" max="11023" width="8.7109375" style="3"/>
    <col min="11024" max="11024" width="20" style="3" customWidth="1"/>
    <col min="11025" max="11025" width="42.5703125" style="3" customWidth="1"/>
    <col min="11026" max="11033" width="3.28515625" style="3" customWidth="1"/>
    <col min="11034" max="11034" width="4.7109375" style="3" customWidth="1"/>
    <col min="11035" max="11042" width="3.28515625" style="3" customWidth="1"/>
    <col min="11043" max="11043" width="4.140625" style="3" customWidth="1"/>
    <col min="11044" max="11076" width="3.28515625" style="3" customWidth="1"/>
    <col min="11077" max="11077" width="39.7109375" style="3" customWidth="1"/>
    <col min="11078" max="11279" width="8.7109375" style="3"/>
    <col min="11280" max="11280" width="20" style="3" customWidth="1"/>
    <col min="11281" max="11281" width="42.5703125" style="3" customWidth="1"/>
    <col min="11282" max="11289" width="3.28515625" style="3" customWidth="1"/>
    <col min="11290" max="11290" width="4.7109375" style="3" customWidth="1"/>
    <col min="11291" max="11298" width="3.28515625" style="3" customWidth="1"/>
    <col min="11299" max="11299" width="4.140625" style="3" customWidth="1"/>
    <col min="11300" max="11332" width="3.28515625" style="3" customWidth="1"/>
    <col min="11333" max="11333" width="39.7109375" style="3" customWidth="1"/>
    <col min="11334" max="11535" width="8.7109375" style="3"/>
    <col min="11536" max="11536" width="20" style="3" customWidth="1"/>
    <col min="11537" max="11537" width="42.5703125" style="3" customWidth="1"/>
    <col min="11538" max="11545" width="3.28515625" style="3" customWidth="1"/>
    <col min="11546" max="11546" width="4.7109375" style="3" customWidth="1"/>
    <col min="11547" max="11554" width="3.28515625" style="3" customWidth="1"/>
    <col min="11555" max="11555" width="4.140625" style="3" customWidth="1"/>
    <col min="11556" max="11588" width="3.28515625" style="3" customWidth="1"/>
    <col min="11589" max="11589" width="39.7109375" style="3" customWidth="1"/>
    <col min="11590" max="11791" width="8.7109375" style="3"/>
    <col min="11792" max="11792" width="20" style="3" customWidth="1"/>
    <col min="11793" max="11793" width="42.5703125" style="3" customWidth="1"/>
    <col min="11794" max="11801" width="3.28515625" style="3" customWidth="1"/>
    <col min="11802" max="11802" width="4.7109375" style="3" customWidth="1"/>
    <col min="11803" max="11810" width="3.28515625" style="3" customWidth="1"/>
    <col min="11811" max="11811" width="4.140625" style="3" customWidth="1"/>
    <col min="11812" max="11844" width="3.28515625" style="3" customWidth="1"/>
    <col min="11845" max="11845" width="39.7109375" style="3" customWidth="1"/>
    <col min="11846" max="12047" width="8.7109375" style="3"/>
    <col min="12048" max="12048" width="20" style="3" customWidth="1"/>
    <col min="12049" max="12049" width="42.5703125" style="3" customWidth="1"/>
    <col min="12050" max="12057" width="3.28515625" style="3" customWidth="1"/>
    <col min="12058" max="12058" width="4.7109375" style="3" customWidth="1"/>
    <col min="12059" max="12066" width="3.28515625" style="3" customWidth="1"/>
    <col min="12067" max="12067" width="4.140625" style="3" customWidth="1"/>
    <col min="12068" max="12100" width="3.28515625" style="3" customWidth="1"/>
    <col min="12101" max="12101" width="39.7109375" style="3" customWidth="1"/>
    <col min="12102" max="12303" width="8.7109375" style="3"/>
    <col min="12304" max="12304" width="20" style="3" customWidth="1"/>
    <col min="12305" max="12305" width="42.5703125" style="3" customWidth="1"/>
    <col min="12306" max="12313" width="3.28515625" style="3" customWidth="1"/>
    <col min="12314" max="12314" width="4.7109375" style="3" customWidth="1"/>
    <col min="12315" max="12322" width="3.28515625" style="3" customWidth="1"/>
    <col min="12323" max="12323" width="4.140625" style="3" customWidth="1"/>
    <col min="12324" max="12356" width="3.28515625" style="3" customWidth="1"/>
    <col min="12357" max="12357" width="39.7109375" style="3" customWidth="1"/>
    <col min="12358" max="12559" width="8.7109375" style="3"/>
    <col min="12560" max="12560" width="20" style="3" customWidth="1"/>
    <col min="12561" max="12561" width="42.5703125" style="3" customWidth="1"/>
    <col min="12562" max="12569" width="3.28515625" style="3" customWidth="1"/>
    <col min="12570" max="12570" width="4.7109375" style="3" customWidth="1"/>
    <col min="12571" max="12578" width="3.28515625" style="3" customWidth="1"/>
    <col min="12579" max="12579" width="4.140625" style="3" customWidth="1"/>
    <col min="12580" max="12612" width="3.28515625" style="3" customWidth="1"/>
    <col min="12613" max="12613" width="39.7109375" style="3" customWidth="1"/>
    <col min="12614" max="12815" width="8.7109375" style="3"/>
    <col min="12816" max="12816" width="20" style="3" customWidth="1"/>
    <col min="12817" max="12817" width="42.5703125" style="3" customWidth="1"/>
    <col min="12818" max="12825" width="3.28515625" style="3" customWidth="1"/>
    <col min="12826" max="12826" width="4.7109375" style="3" customWidth="1"/>
    <col min="12827" max="12834" width="3.28515625" style="3" customWidth="1"/>
    <col min="12835" max="12835" width="4.140625" style="3" customWidth="1"/>
    <col min="12836" max="12868" width="3.28515625" style="3" customWidth="1"/>
    <col min="12869" max="12869" width="39.7109375" style="3" customWidth="1"/>
    <col min="12870" max="13071" width="8.7109375" style="3"/>
    <col min="13072" max="13072" width="20" style="3" customWidth="1"/>
    <col min="13073" max="13073" width="42.5703125" style="3" customWidth="1"/>
    <col min="13074" max="13081" width="3.28515625" style="3" customWidth="1"/>
    <col min="13082" max="13082" width="4.7109375" style="3" customWidth="1"/>
    <col min="13083" max="13090" width="3.28515625" style="3" customWidth="1"/>
    <col min="13091" max="13091" width="4.140625" style="3" customWidth="1"/>
    <col min="13092" max="13124" width="3.28515625" style="3" customWidth="1"/>
    <col min="13125" max="13125" width="39.7109375" style="3" customWidth="1"/>
    <col min="13126" max="13327" width="8.7109375" style="3"/>
    <col min="13328" max="13328" width="20" style="3" customWidth="1"/>
    <col min="13329" max="13329" width="42.5703125" style="3" customWidth="1"/>
    <col min="13330" max="13337" width="3.28515625" style="3" customWidth="1"/>
    <col min="13338" max="13338" width="4.7109375" style="3" customWidth="1"/>
    <col min="13339" max="13346" width="3.28515625" style="3" customWidth="1"/>
    <col min="13347" max="13347" width="4.140625" style="3" customWidth="1"/>
    <col min="13348" max="13380" width="3.28515625" style="3" customWidth="1"/>
    <col min="13381" max="13381" width="39.7109375" style="3" customWidth="1"/>
    <col min="13382" max="13583" width="8.7109375" style="3"/>
    <col min="13584" max="13584" width="20" style="3" customWidth="1"/>
    <col min="13585" max="13585" width="42.5703125" style="3" customWidth="1"/>
    <col min="13586" max="13593" width="3.28515625" style="3" customWidth="1"/>
    <col min="13594" max="13594" width="4.7109375" style="3" customWidth="1"/>
    <col min="13595" max="13602" width="3.28515625" style="3" customWidth="1"/>
    <col min="13603" max="13603" width="4.140625" style="3" customWidth="1"/>
    <col min="13604" max="13636" width="3.28515625" style="3" customWidth="1"/>
    <col min="13637" max="13637" width="39.7109375" style="3" customWidth="1"/>
    <col min="13638" max="13839" width="8.7109375" style="3"/>
    <col min="13840" max="13840" width="20" style="3" customWidth="1"/>
    <col min="13841" max="13841" width="42.5703125" style="3" customWidth="1"/>
    <col min="13842" max="13849" width="3.28515625" style="3" customWidth="1"/>
    <col min="13850" max="13850" width="4.7109375" style="3" customWidth="1"/>
    <col min="13851" max="13858" width="3.28515625" style="3" customWidth="1"/>
    <col min="13859" max="13859" width="4.140625" style="3" customWidth="1"/>
    <col min="13860" max="13892" width="3.28515625" style="3" customWidth="1"/>
    <col min="13893" max="13893" width="39.7109375" style="3" customWidth="1"/>
    <col min="13894" max="14095" width="8.7109375" style="3"/>
    <col min="14096" max="14096" width="20" style="3" customWidth="1"/>
    <col min="14097" max="14097" width="42.5703125" style="3" customWidth="1"/>
    <col min="14098" max="14105" width="3.28515625" style="3" customWidth="1"/>
    <col min="14106" max="14106" width="4.7109375" style="3" customWidth="1"/>
    <col min="14107" max="14114" width="3.28515625" style="3" customWidth="1"/>
    <col min="14115" max="14115" width="4.140625" style="3" customWidth="1"/>
    <col min="14116" max="14148" width="3.28515625" style="3" customWidth="1"/>
    <col min="14149" max="14149" width="39.7109375" style="3" customWidth="1"/>
    <col min="14150" max="14351" width="8.7109375" style="3"/>
    <col min="14352" max="14352" width="20" style="3" customWidth="1"/>
    <col min="14353" max="14353" width="42.5703125" style="3" customWidth="1"/>
    <col min="14354" max="14361" width="3.28515625" style="3" customWidth="1"/>
    <col min="14362" max="14362" width="4.7109375" style="3" customWidth="1"/>
    <col min="14363" max="14370" width="3.28515625" style="3" customWidth="1"/>
    <col min="14371" max="14371" width="4.140625" style="3" customWidth="1"/>
    <col min="14372" max="14404" width="3.28515625" style="3" customWidth="1"/>
    <col min="14405" max="14405" width="39.7109375" style="3" customWidth="1"/>
    <col min="14406" max="14607" width="8.7109375" style="3"/>
    <col min="14608" max="14608" width="20" style="3" customWidth="1"/>
    <col min="14609" max="14609" width="42.5703125" style="3" customWidth="1"/>
    <col min="14610" max="14617" width="3.28515625" style="3" customWidth="1"/>
    <col min="14618" max="14618" width="4.7109375" style="3" customWidth="1"/>
    <col min="14619" max="14626" width="3.28515625" style="3" customWidth="1"/>
    <col min="14627" max="14627" width="4.140625" style="3" customWidth="1"/>
    <col min="14628" max="14660" width="3.28515625" style="3" customWidth="1"/>
    <col min="14661" max="14661" width="39.7109375" style="3" customWidth="1"/>
    <col min="14662" max="14863" width="8.7109375" style="3"/>
    <col min="14864" max="14864" width="20" style="3" customWidth="1"/>
    <col min="14865" max="14865" width="42.5703125" style="3" customWidth="1"/>
    <col min="14866" max="14873" width="3.28515625" style="3" customWidth="1"/>
    <col min="14874" max="14874" width="4.7109375" style="3" customWidth="1"/>
    <col min="14875" max="14882" width="3.28515625" style="3" customWidth="1"/>
    <col min="14883" max="14883" width="4.140625" style="3" customWidth="1"/>
    <col min="14884" max="14916" width="3.28515625" style="3" customWidth="1"/>
    <col min="14917" max="14917" width="39.7109375" style="3" customWidth="1"/>
    <col min="14918" max="15119" width="8.7109375" style="3"/>
    <col min="15120" max="15120" width="20" style="3" customWidth="1"/>
    <col min="15121" max="15121" width="42.5703125" style="3" customWidth="1"/>
    <col min="15122" max="15129" width="3.28515625" style="3" customWidth="1"/>
    <col min="15130" max="15130" width="4.7109375" style="3" customWidth="1"/>
    <col min="15131" max="15138" width="3.28515625" style="3" customWidth="1"/>
    <col min="15139" max="15139" width="4.140625" style="3" customWidth="1"/>
    <col min="15140" max="15172" width="3.28515625" style="3" customWidth="1"/>
    <col min="15173" max="15173" width="39.7109375" style="3" customWidth="1"/>
    <col min="15174" max="15375" width="8.7109375" style="3"/>
    <col min="15376" max="15376" width="20" style="3" customWidth="1"/>
    <col min="15377" max="15377" width="42.5703125" style="3" customWidth="1"/>
    <col min="15378" max="15385" width="3.28515625" style="3" customWidth="1"/>
    <col min="15386" max="15386" width="4.7109375" style="3" customWidth="1"/>
    <col min="15387" max="15394" width="3.28515625" style="3" customWidth="1"/>
    <col min="15395" max="15395" width="4.140625" style="3" customWidth="1"/>
    <col min="15396" max="15428" width="3.28515625" style="3" customWidth="1"/>
    <col min="15429" max="15429" width="39.7109375" style="3" customWidth="1"/>
    <col min="15430" max="15631" width="8.7109375" style="3"/>
    <col min="15632" max="15632" width="20" style="3" customWidth="1"/>
    <col min="15633" max="15633" width="42.5703125" style="3" customWidth="1"/>
    <col min="15634" max="15641" width="3.28515625" style="3" customWidth="1"/>
    <col min="15642" max="15642" width="4.7109375" style="3" customWidth="1"/>
    <col min="15643" max="15650" width="3.28515625" style="3" customWidth="1"/>
    <col min="15651" max="15651" width="4.140625" style="3" customWidth="1"/>
    <col min="15652" max="15684" width="3.28515625" style="3" customWidth="1"/>
    <col min="15685" max="15685" width="39.7109375" style="3" customWidth="1"/>
    <col min="15686" max="15887" width="8.7109375" style="3"/>
    <col min="15888" max="15888" width="20" style="3" customWidth="1"/>
    <col min="15889" max="15889" width="42.5703125" style="3" customWidth="1"/>
    <col min="15890" max="15897" width="3.28515625" style="3" customWidth="1"/>
    <col min="15898" max="15898" width="4.7109375" style="3" customWidth="1"/>
    <col min="15899" max="15906" width="3.28515625" style="3" customWidth="1"/>
    <col min="15907" max="15907" width="4.140625" style="3" customWidth="1"/>
    <col min="15908" max="15940" width="3.28515625" style="3" customWidth="1"/>
    <col min="15941" max="15941" width="39.7109375" style="3" customWidth="1"/>
    <col min="15942" max="16143" width="8.7109375" style="3"/>
    <col min="16144" max="16144" width="20" style="3" customWidth="1"/>
    <col min="16145" max="16145" width="42.5703125" style="3" customWidth="1"/>
    <col min="16146" max="16153" width="3.28515625" style="3" customWidth="1"/>
    <col min="16154" max="16154" width="4.7109375" style="3" customWidth="1"/>
    <col min="16155" max="16162" width="3.28515625" style="3" customWidth="1"/>
    <col min="16163" max="16163" width="4.140625" style="3" customWidth="1"/>
    <col min="16164" max="16196" width="3.28515625" style="3" customWidth="1"/>
    <col min="16197" max="16197" width="39.7109375" style="3" customWidth="1"/>
    <col min="16198" max="16384" width="8.7109375" style="3"/>
  </cols>
  <sheetData>
    <row r="1" spans="1:80" ht="22.9" customHeight="1" thickBo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  <c r="N1" s="18"/>
      <c r="O1" s="18"/>
      <c r="P1" s="18"/>
      <c r="Q1" s="18"/>
      <c r="R1" s="8" t="s">
        <v>30</v>
      </c>
      <c r="S1" s="8"/>
      <c r="T1" s="8"/>
      <c r="U1" s="17"/>
      <c r="V1" s="8"/>
      <c r="W1" s="8"/>
      <c r="X1" s="8"/>
      <c r="Y1" s="8"/>
      <c r="Z1" s="8"/>
      <c r="AA1" s="8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34" t="s">
        <v>215</v>
      </c>
      <c r="BH1" s="34"/>
    </row>
    <row r="2" spans="1:80" ht="27" customHeight="1" thickBo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  <c r="N2" s="18"/>
      <c r="O2" s="18"/>
      <c r="P2" s="18"/>
      <c r="Q2" s="18"/>
      <c r="R2" s="21" t="s">
        <v>32</v>
      </c>
      <c r="S2" s="22"/>
      <c r="T2" s="22"/>
      <c r="U2" s="23"/>
      <c r="V2" s="22"/>
      <c r="W2" s="22"/>
      <c r="X2" s="22"/>
      <c r="Y2" s="22"/>
      <c r="Z2" s="22"/>
      <c r="AA2" s="22"/>
      <c r="AB2" s="24"/>
      <c r="AC2" s="8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</row>
    <row r="3" spans="1:80" ht="21" thickBot="1">
      <c r="A3" s="17"/>
      <c r="B3" s="17"/>
      <c r="C3" s="17"/>
      <c r="D3" s="8"/>
      <c r="E3" s="8"/>
      <c r="F3" s="8"/>
      <c r="G3" s="8"/>
      <c r="H3" s="8"/>
      <c r="I3" s="8"/>
      <c r="J3" s="8"/>
      <c r="K3" s="8"/>
      <c r="L3" s="8"/>
      <c r="M3" s="19"/>
      <c r="N3" s="19"/>
      <c r="O3" s="19"/>
      <c r="P3" s="19"/>
      <c r="Q3" s="19"/>
      <c r="R3" s="8" t="s">
        <v>33</v>
      </c>
      <c r="S3" s="8"/>
      <c r="T3" s="8"/>
      <c r="U3" s="17"/>
      <c r="V3" s="8"/>
      <c r="W3" s="8"/>
      <c r="X3" s="8"/>
      <c r="Y3" s="8"/>
      <c r="Z3" s="8"/>
      <c r="AA3" s="8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O3" s="17"/>
      <c r="AP3" s="8" t="s">
        <v>34</v>
      </c>
      <c r="AQ3" s="17"/>
      <c r="AR3" s="17"/>
      <c r="AS3" s="17"/>
      <c r="AT3" s="17"/>
      <c r="AU3" s="17"/>
      <c r="AV3" s="17" t="s">
        <v>35</v>
      </c>
      <c r="AW3" s="20"/>
      <c r="AX3" s="17"/>
      <c r="AY3" s="17" t="s">
        <v>36</v>
      </c>
      <c r="AZ3" s="17"/>
      <c r="BA3" s="17"/>
      <c r="BB3" s="17"/>
      <c r="BC3" s="17"/>
      <c r="BD3" s="17"/>
      <c r="BE3" s="17"/>
      <c r="BF3" s="17"/>
      <c r="BG3" s="17"/>
      <c r="BH3" s="17"/>
      <c r="BI3" s="1"/>
      <c r="BJ3" s="1"/>
      <c r="BK3" s="1"/>
      <c r="BN3" s="6"/>
    </row>
    <row r="4" spans="1:80" ht="27" customHeight="1" thickBot="1">
      <c r="A4" s="17"/>
      <c r="B4" s="17"/>
      <c r="C4" s="17"/>
      <c r="D4" s="8"/>
      <c r="E4" s="8"/>
      <c r="F4" s="8"/>
      <c r="G4" s="8"/>
      <c r="H4" s="8"/>
      <c r="I4" s="8"/>
      <c r="J4" s="8"/>
      <c r="K4" s="8"/>
      <c r="L4" s="8"/>
      <c r="M4" s="19"/>
      <c r="N4" s="19"/>
      <c r="O4" s="19"/>
      <c r="P4" s="19"/>
      <c r="Q4" s="19"/>
      <c r="R4" s="21" t="s">
        <v>244</v>
      </c>
      <c r="S4" s="22"/>
      <c r="T4" s="22"/>
      <c r="U4" s="22"/>
      <c r="V4" s="22"/>
      <c r="W4" s="22"/>
      <c r="X4" s="22"/>
      <c r="Y4" s="22"/>
      <c r="Z4" s="22"/>
      <c r="AA4" s="22"/>
      <c r="AB4" s="24"/>
      <c r="AC4" s="8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 t="s">
        <v>38</v>
      </c>
      <c r="AW4" s="20" t="s">
        <v>39</v>
      </c>
      <c r="AX4" s="17"/>
      <c r="AY4" s="21"/>
      <c r="AZ4" s="23"/>
      <c r="BA4" s="23"/>
      <c r="BB4" s="23"/>
      <c r="BC4" s="23"/>
      <c r="BD4" s="23"/>
      <c r="BE4" s="23"/>
      <c r="BF4" s="23"/>
      <c r="BG4" s="23"/>
      <c r="BH4" s="25"/>
      <c r="BI4" s="1"/>
      <c r="BJ4" s="1"/>
      <c r="BK4" s="1"/>
    </row>
    <row r="5" spans="1:80" ht="21.6" customHeight="1" thickBot="1">
      <c r="A5" s="17"/>
      <c r="B5" s="17"/>
      <c r="C5" s="17"/>
      <c r="D5" s="8"/>
      <c r="E5" s="8"/>
      <c r="F5" s="8"/>
      <c r="G5" s="8"/>
      <c r="H5" s="8"/>
      <c r="I5" s="8"/>
      <c r="J5" s="8"/>
      <c r="K5" s="8"/>
      <c r="L5" s="8"/>
      <c r="M5" s="19"/>
      <c r="N5" s="19"/>
      <c r="O5" s="19"/>
      <c r="P5" s="19"/>
      <c r="Q5" s="18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8"/>
      <c r="AG5" s="8"/>
      <c r="AH5" s="8"/>
      <c r="AI5" s="8"/>
      <c r="AJ5" s="8"/>
      <c r="AK5" s="8"/>
      <c r="AL5" s="8"/>
      <c r="AM5" s="8"/>
      <c r="AN5" s="17"/>
      <c r="AO5" s="17"/>
      <c r="AP5" s="17"/>
      <c r="AQ5" s="17"/>
      <c r="AS5" s="8" t="s">
        <v>40</v>
      </c>
      <c r="AT5" s="17"/>
      <c r="AU5" s="17"/>
      <c r="AV5" s="17" t="s">
        <v>35</v>
      </c>
      <c r="AW5" s="20"/>
      <c r="AX5" s="17"/>
      <c r="AY5" s="8" t="s">
        <v>41</v>
      </c>
      <c r="AZ5" s="17"/>
      <c r="BA5" s="17"/>
      <c r="BB5" s="17"/>
      <c r="BC5" s="17"/>
      <c r="BD5" s="17"/>
      <c r="BE5" s="17"/>
      <c r="BF5" s="17"/>
      <c r="BG5" s="17"/>
      <c r="BH5" s="17"/>
      <c r="BI5" s="1"/>
      <c r="BJ5" s="1"/>
      <c r="BK5" s="1"/>
      <c r="BN5" s="4"/>
    </row>
    <row r="6" spans="1:80" ht="27" customHeight="1" thickBot="1">
      <c r="A6" s="17"/>
      <c r="B6" s="17"/>
      <c r="C6" s="253" t="s">
        <v>42</v>
      </c>
      <c r="D6" s="254"/>
      <c r="E6" s="254"/>
      <c r="F6" s="255"/>
      <c r="G6" s="26" t="str">
        <f>'Controller A(2)'!G6</f>
        <v>Amazon</v>
      </c>
      <c r="H6" s="23"/>
      <c r="I6" s="23"/>
      <c r="J6" s="23"/>
      <c r="K6" s="23"/>
      <c r="L6" s="23"/>
      <c r="M6" s="23"/>
      <c r="N6" s="23"/>
      <c r="O6" s="23"/>
      <c r="P6" s="23"/>
      <c r="Q6" s="25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 t="s">
        <v>38</v>
      </c>
      <c r="AW6" s="20" t="s">
        <v>39</v>
      </c>
      <c r="AX6" s="17"/>
      <c r="AY6" s="21"/>
      <c r="AZ6" s="22"/>
      <c r="BA6" s="22"/>
      <c r="BB6" s="22"/>
      <c r="BC6" s="22"/>
      <c r="BD6" s="22"/>
      <c r="BE6" s="22"/>
      <c r="BF6" s="22"/>
      <c r="BG6" s="22"/>
      <c r="BH6" s="24"/>
      <c r="BI6" s="1"/>
      <c r="BJ6" s="1"/>
      <c r="BK6" s="1"/>
      <c r="BL6" s="1"/>
      <c r="BN6" s="4"/>
    </row>
    <row r="7" spans="1:80" ht="28.9" customHeight="1" thickBot="1">
      <c r="A7" s="17"/>
      <c r="B7" s="17"/>
      <c r="C7" s="253" t="s">
        <v>44</v>
      </c>
      <c r="D7" s="254"/>
      <c r="E7" s="254"/>
      <c r="F7" s="255"/>
      <c r="G7" s="26" t="str">
        <f>'Controller A(2)'!G7</f>
        <v>2956 Main Street</v>
      </c>
      <c r="H7" s="23"/>
      <c r="I7" s="23"/>
      <c r="J7" s="23"/>
      <c r="K7" s="23"/>
      <c r="L7" s="23"/>
      <c r="M7" s="23"/>
      <c r="N7" s="23"/>
      <c r="O7" s="23"/>
      <c r="P7" s="23"/>
      <c r="Q7" s="25"/>
      <c r="R7" s="8" t="s">
        <v>46</v>
      </c>
      <c r="S7" s="8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256" t="s">
        <v>47</v>
      </c>
      <c r="AQ7" s="257"/>
      <c r="AR7" s="257"/>
      <c r="AS7" s="257"/>
      <c r="AT7" s="258"/>
      <c r="AU7" s="8"/>
      <c r="AV7" s="8"/>
      <c r="AW7" s="17"/>
      <c r="AX7" s="17"/>
      <c r="AY7" s="17"/>
      <c r="AZ7" s="17"/>
      <c r="BA7" s="27"/>
      <c r="BB7" s="27"/>
      <c r="BC7" s="17"/>
      <c r="BD7" s="27"/>
      <c r="BE7" s="27"/>
      <c r="BF7" s="27"/>
      <c r="BG7" s="27"/>
      <c r="BH7" s="27"/>
      <c r="BI7" s="1"/>
      <c r="BJ7" s="1"/>
      <c r="BK7" s="1"/>
      <c r="BL7" s="1"/>
    </row>
    <row r="8" spans="1:80" ht="27" customHeight="1" thickBot="1">
      <c r="A8" s="17"/>
      <c r="B8" s="17"/>
      <c r="C8" s="262" t="s">
        <v>48</v>
      </c>
      <c r="D8" s="263"/>
      <c r="E8" s="263"/>
      <c r="F8" s="264"/>
      <c r="G8" s="26" t="str">
        <f>'Controller A(2)'!G8</f>
        <v>Buda, Texas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1" t="s">
        <v>50</v>
      </c>
      <c r="S8" s="22"/>
      <c r="T8" s="22"/>
      <c r="U8" s="22"/>
      <c r="V8" s="240"/>
      <c r="W8" s="23"/>
      <c r="X8" s="23"/>
      <c r="Y8" s="23"/>
      <c r="Z8" s="23"/>
      <c r="AA8" s="23"/>
      <c r="AB8" s="23"/>
      <c r="AC8" s="47" t="s">
        <v>52</v>
      </c>
      <c r="AD8" s="7"/>
      <c r="AE8" s="48"/>
      <c r="AF8" s="48"/>
      <c r="AG8" s="48"/>
      <c r="AH8" s="48"/>
      <c r="AI8" s="48"/>
      <c r="AJ8" s="48"/>
      <c r="AK8" s="48"/>
      <c r="AL8" s="48"/>
      <c r="AM8" s="32"/>
      <c r="AN8" s="17"/>
      <c r="AO8" s="17"/>
      <c r="AP8" s="259"/>
      <c r="AQ8" s="260"/>
      <c r="AR8" s="260"/>
      <c r="AS8" s="260"/>
      <c r="AT8" s="261"/>
      <c r="AU8" s="23" t="s">
        <v>54</v>
      </c>
      <c r="AV8" s="24"/>
      <c r="AW8" s="30" t="s">
        <v>33</v>
      </c>
      <c r="AX8" s="31"/>
      <c r="AY8" s="32"/>
      <c r="AZ8" s="27"/>
      <c r="BA8" s="27"/>
      <c r="BB8" s="27"/>
      <c r="BC8" s="27"/>
      <c r="BD8" s="27"/>
      <c r="BE8" s="27"/>
      <c r="BF8" s="27"/>
      <c r="BG8" s="27"/>
      <c r="BH8" s="27"/>
      <c r="BI8" s="1"/>
      <c r="BJ8" s="1"/>
      <c r="BK8" s="1"/>
      <c r="BM8" s="1"/>
      <c r="BX8" s="1"/>
    </row>
    <row r="9" spans="1:80" ht="27" customHeight="1" thickBot="1">
      <c r="A9" s="17"/>
      <c r="B9" s="17"/>
      <c r="C9" s="253" t="s">
        <v>4</v>
      </c>
      <c r="D9" s="254"/>
      <c r="E9" s="254"/>
      <c r="F9" s="255"/>
      <c r="G9" s="26"/>
      <c r="H9" s="23"/>
      <c r="I9" s="23"/>
      <c r="J9" s="23"/>
      <c r="K9" s="23"/>
      <c r="L9" s="23"/>
      <c r="M9" s="23"/>
      <c r="N9" s="23"/>
      <c r="O9" s="23"/>
      <c r="P9" s="23"/>
      <c r="Q9" s="23"/>
      <c r="R9" s="21" t="s">
        <v>50</v>
      </c>
      <c r="S9" s="22"/>
      <c r="T9" s="22"/>
      <c r="U9" s="22"/>
      <c r="V9" s="22"/>
      <c r="W9" s="23"/>
      <c r="X9" s="23"/>
      <c r="Y9" s="23"/>
      <c r="Z9" s="23"/>
      <c r="AA9" s="23"/>
      <c r="AB9" s="23"/>
      <c r="AC9" s="21" t="s">
        <v>52</v>
      </c>
      <c r="AD9" s="44"/>
      <c r="AE9" s="23"/>
      <c r="AF9" s="22"/>
      <c r="AG9" s="22"/>
      <c r="AH9" s="22"/>
      <c r="AI9" s="23"/>
      <c r="AJ9" s="22"/>
      <c r="AK9" s="22"/>
      <c r="AL9" s="22"/>
      <c r="AM9" s="24"/>
      <c r="AN9" s="17"/>
      <c r="AO9" s="17"/>
      <c r="AP9" s="49">
        <v>1</v>
      </c>
      <c r="AQ9" s="45" t="s">
        <v>56</v>
      </c>
      <c r="AR9" s="50"/>
      <c r="AS9" s="50"/>
      <c r="AT9" s="46"/>
      <c r="AU9" s="21" t="s">
        <v>57</v>
      </c>
      <c r="AV9" s="22"/>
      <c r="AW9" s="26" t="s">
        <v>219</v>
      </c>
      <c r="AX9" s="23"/>
      <c r="AY9" s="22"/>
      <c r="AZ9" s="23"/>
      <c r="BA9" s="23"/>
      <c r="BB9" s="23"/>
      <c r="BC9" s="23"/>
      <c r="BD9" s="23"/>
      <c r="BE9" s="23"/>
      <c r="BF9" s="23"/>
      <c r="BG9" s="23"/>
      <c r="BH9" s="25"/>
      <c r="BI9" s="1"/>
      <c r="BJ9" s="1"/>
      <c r="BK9" s="1"/>
      <c r="BL9" s="1"/>
      <c r="BM9" s="1"/>
    </row>
    <row r="10" spans="1:80" ht="27" customHeight="1" thickBot="1">
      <c r="A10" s="17"/>
      <c r="B10" s="17"/>
      <c r="C10" s="253" t="s">
        <v>2</v>
      </c>
      <c r="D10" s="254"/>
      <c r="E10" s="254"/>
      <c r="F10" s="255"/>
      <c r="G10" s="221"/>
      <c r="H10" s="67"/>
      <c r="I10" s="67"/>
      <c r="J10" s="67"/>
      <c r="K10" s="23"/>
      <c r="L10" s="23"/>
      <c r="M10" s="23"/>
      <c r="N10" s="23"/>
      <c r="O10" s="23"/>
      <c r="P10" s="23"/>
      <c r="Q10" s="25"/>
      <c r="R10" s="17"/>
      <c r="S10" s="17"/>
      <c r="T10" s="8"/>
      <c r="U10" s="8"/>
      <c r="V10" s="8"/>
      <c r="W10" s="17"/>
      <c r="X10" s="17"/>
      <c r="Y10" s="17"/>
      <c r="Z10" s="17"/>
      <c r="AA10" s="17"/>
      <c r="AB10" s="17"/>
      <c r="AC10" s="17"/>
      <c r="AE10" s="8"/>
      <c r="AF10" s="8"/>
      <c r="AG10" s="8"/>
      <c r="AH10" s="8"/>
      <c r="AI10" s="17"/>
      <c r="AJ10" s="8"/>
      <c r="AK10" s="8"/>
      <c r="AL10" s="8"/>
      <c r="AM10" s="8"/>
      <c r="AN10" s="17"/>
      <c r="AO10" s="17"/>
      <c r="AP10" s="33">
        <v>2</v>
      </c>
      <c r="AQ10" s="21"/>
      <c r="AR10" s="22"/>
      <c r="AS10" s="22"/>
      <c r="AT10" s="25"/>
      <c r="AU10" s="21"/>
      <c r="AV10" s="22"/>
      <c r="AW10" s="26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5"/>
      <c r="BI10" s="1"/>
      <c r="BJ10" s="1"/>
      <c r="BK10" s="1"/>
      <c r="BL10" s="1"/>
      <c r="BM10" s="1"/>
      <c r="BX10" s="1"/>
    </row>
    <row r="11" spans="1:80" ht="26.65" customHeight="1" thickBot="1">
      <c r="A11" s="17"/>
      <c r="B11" s="17"/>
      <c r="C11" s="253" t="s">
        <v>60</v>
      </c>
      <c r="D11" s="254"/>
      <c r="E11" s="254"/>
      <c r="F11" s="255"/>
      <c r="G11" s="26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1" t="s">
        <v>62</v>
      </c>
      <c r="S11" s="22"/>
      <c r="T11" s="22"/>
      <c r="U11" s="22"/>
      <c r="V11" s="22"/>
      <c r="W11" s="22"/>
      <c r="X11" s="22"/>
      <c r="Y11" s="23"/>
      <c r="Z11" s="22"/>
      <c r="AA11" s="22"/>
      <c r="AB11" s="25"/>
      <c r="AC11" s="21" t="s">
        <v>64</v>
      </c>
      <c r="AD11" s="44"/>
      <c r="AE11" s="22"/>
      <c r="AF11" s="22"/>
      <c r="AG11" s="22"/>
      <c r="AH11" s="22"/>
      <c r="AI11" s="23"/>
      <c r="AJ11" s="22"/>
      <c r="AK11" s="22"/>
      <c r="AL11" s="22"/>
      <c r="AM11" s="24"/>
      <c r="AN11" s="17"/>
      <c r="AO11" s="17"/>
      <c r="AP11" s="33">
        <v>3</v>
      </c>
      <c r="AQ11" s="21"/>
      <c r="AR11" s="22"/>
      <c r="AS11" s="22"/>
      <c r="AT11" s="25"/>
      <c r="AU11" s="21"/>
      <c r="AV11" s="22"/>
      <c r="AW11" s="26"/>
      <c r="AX11" s="23"/>
      <c r="AY11" s="23"/>
      <c r="AZ11" s="22"/>
      <c r="BA11" s="23"/>
      <c r="BB11" s="23"/>
      <c r="BC11" s="23"/>
      <c r="BD11" s="23"/>
      <c r="BE11" s="23"/>
      <c r="BF11" s="23"/>
      <c r="BG11" s="23"/>
      <c r="BH11" s="25"/>
      <c r="BI11" s="1"/>
      <c r="BJ11" s="1"/>
      <c r="BK11" s="1"/>
      <c r="BL11" s="1"/>
      <c r="BM11" s="1"/>
      <c r="BN11" s="1"/>
    </row>
    <row r="12" spans="1:80" ht="27" customHeight="1" thickBot="1">
      <c r="A12" s="8"/>
      <c r="B12" s="17"/>
      <c r="C12" s="253" t="s">
        <v>65</v>
      </c>
      <c r="D12" s="254"/>
      <c r="E12" s="254"/>
      <c r="F12" s="255"/>
      <c r="G12" s="21" t="str">
        <f>'Controller A(2)'!G12</f>
        <v>Wizard Herrera/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1" t="s">
        <v>62</v>
      </c>
      <c r="S12" s="22"/>
      <c r="T12" s="22"/>
      <c r="U12" s="22"/>
      <c r="V12" s="22"/>
      <c r="W12" s="22"/>
      <c r="X12" s="22"/>
      <c r="Y12" s="23"/>
      <c r="Z12" s="22"/>
      <c r="AA12" s="22"/>
      <c r="AB12" s="25"/>
      <c r="AC12" s="21" t="s">
        <v>64</v>
      </c>
      <c r="AD12" s="44"/>
      <c r="AE12" s="22"/>
      <c r="AF12" s="22"/>
      <c r="AG12" s="22"/>
      <c r="AH12" s="22"/>
      <c r="AI12" s="23"/>
      <c r="AJ12" s="22"/>
      <c r="AK12" s="22"/>
      <c r="AL12" s="22"/>
      <c r="AM12" s="24"/>
      <c r="AN12" s="17"/>
      <c r="AO12" s="17"/>
      <c r="AP12" s="33">
        <v>4</v>
      </c>
      <c r="AQ12" s="21"/>
      <c r="AR12" s="22"/>
      <c r="AS12" s="22"/>
      <c r="AT12" s="25"/>
      <c r="AU12" s="21"/>
      <c r="AV12" s="22"/>
      <c r="AW12" s="26"/>
      <c r="AX12" s="23"/>
      <c r="AY12" s="23"/>
      <c r="AZ12" s="22"/>
      <c r="BA12" s="22"/>
      <c r="BB12" s="22"/>
      <c r="BC12" s="22"/>
      <c r="BD12" s="22"/>
      <c r="BE12" s="22"/>
      <c r="BF12" s="22"/>
      <c r="BG12" s="22"/>
      <c r="BH12" s="24"/>
      <c r="BI12" s="1"/>
      <c r="BJ12" s="1"/>
      <c r="BK12" s="1"/>
      <c r="BL12" s="1"/>
      <c r="BM12" s="1"/>
      <c r="BN12" s="1"/>
    </row>
    <row r="13" spans="1:80" ht="22.9" customHeight="1">
      <c r="A13" s="238"/>
      <c r="B13" s="91"/>
      <c r="C13" s="51"/>
      <c r="D13" s="31"/>
      <c r="E13" s="31"/>
      <c r="F13" s="31"/>
      <c r="G13" s="31"/>
      <c r="H13" s="31"/>
      <c r="I13" s="52"/>
      <c r="J13" s="47"/>
      <c r="K13" s="31"/>
      <c r="L13" s="52"/>
      <c r="M13" s="51"/>
      <c r="N13" s="53"/>
      <c r="O13" s="53"/>
      <c r="P13" s="53"/>
      <c r="Q13" s="54"/>
      <c r="R13" s="55" t="s">
        <v>68</v>
      </c>
      <c r="S13" s="56"/>
      <c r="T13" s="31"/>
      <c r="U13" s="31"/>
      <c r="V13" s="31"/>
      <c r="W13" s="48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55" t="s">
        <v>69</v>
      </c>
      <c r="AS13" s="56"/>
      <c r="AT13" s="31"/>
      <c r="AU13" s="31"/>
      <c r="AV13" s="31"/>
      <c r="AW13" s="31"/>
      <c r="AX13" s="31"/>
      <c r="AY13" s="31"/>
      <c r="AZ13" s="56"/>
      <c r="BA13" s="48"/>
      <c r="BB13" s="31"/>
      <c r="BC13" s="31"/>
      <c r="BD13" s="31"/>
      <c r="BE13" s="31"/>
      <c r="BF13" s="31"/>
      <c r="BG13" s="52"/>
      <c r="BH13" s="32"/>
      <c r="BI13" s="1"/>
      <c r="BJ13" s="1"/>
      <c r="BK13" s="1"/>
      <c r="BL13" s="1"/>
      <c r="BN13" s="1"/>
      <c r="BO13" s="1"/>
      <c r="BP13" s="1"/>
      <c r="BQ13" s="1"/>
      <c r="BR13" s="1"/>
      <c r="BS13" s="1"/>
    </row>
    <row r="14" spans="1:80" ht="179.65" customHeight="1" thickBot="1">
      <c r="A14" s="239" t="s">
        <v>70</v>
      </c>
      <c r="B14" s="92" t="s">
        <v>71</v>
      </c>
      <c r="C14" s="57" t="s">
        <v>72</v>
      </c>
      <c r="D14" s="58" t="s">
        <v>73</v>
      </c>
      <c r="E14" s="58" t="s">
        <v>74</v>
      </c>
      <c r="F14" s="58" t="s">
        <v>75</v>
      </c>
      <c r="G14" s="58" t="s">
        <v>76</v>
      </c>
      <c r="H14" s="58" t="s">
        <v>77</v>
      </c>
      <c r="I14" s="59" t="s">
        <v>78</v>
      </c>
      <c r="J14" s="57" t="s">
        <v>79</v>
      </c>
      <c r="K14" s="58" t="s">
        <v>80</v>
      </c>
      <c r="L14" s="59" t="s">
        <v>81</v>
      </c>
      <c r="M14" s="57" t="s">
        <v>82</v>
      </c>
      <c r="N14" s="58" t="s">
        <v>83</v>
      </c>
      <c r="O14" s="58" t="s">
        <v>84</v>
      </c>
      <c r="P14" s="58" t="s">
        <v>85</v>
      </c>
      <c r="Q14" s="59" t="s">
        <v>86</v>
      </c>
      <c r="R14" s="57" t="s">
        <v>87</v>
      </c>
      <c r="S14" s="58" t="s">
        <v>88</v>
      </c>
      <c r="T14" s="58" t="s">
        <v>89</v>
      </c>
      <c r="U14" s="58" t="s">
        <v>90</v>
      </c>
      <c r="V14" s="58" t="s">
        <v>91</v>
      </c>
      <c r="W14" s="58" t="s">
        <v>92</v>
      </c>
      <c r="X14" s="58" t="s">
        <v>93</v>
      </c>
      <c r="Y14" s="58" t="s">
        <v>94</v>
      </c>
      <c r="Z14" s="58" t="s">
        <v>95</v>
      </c>
      <c r="AA14" s="58" t="s">
        <v>96</v>
      </c>
      <c r="AB14" s="58" t="s">
        <v>97</v>
      </c>
      <c r="AC14" s="58" t="s">
        <v>98</v>
      </c>
      <c r="AD14" s="58" t="s">
        <v>99</v>
      </c>
      <c r="AE14" s="58" t="s">
        <v>100</v>
      </c>
      <c r="AF14" s="58" t="s">
        <v>101</v>
      </c>
      <c r="AG14" s="58" t="s">
        <v>102</v>
      </c>
      <c r="AH14" s="58" t="s">
        <v>103</v>
      </c>
      <c r="AI14" s="58" t="s">
        <v>104</v>
      </c>
      <c r="AJ14" s="58" t="s">
        <v>105</v>
      </c>
      <c r="AK14" s="58" t="s">
        <v>106</v>
      </c>
      <c r="AL14" s="58" t="s">
        <v>107</v>
      </c>
      <c r="AM14" s="58" t="s">
        <v>108</v>
      </c>
      <c r="AN14" s="58" t="s">
        <v>109</v>
      </c>
      <c r="AO14" s="58" t="s">
        <v>110</v>
      </c>
      <c r="AP14" s="58" t="s">
        <v>111</v>
      </c>
      <c r="AQ14" s="58" t="s">
        <v>112</v>
      </c>
      <c r="AR14" s="57" t="s">
        <v>87</v>
      </c>
      <c r="AS14" s="58" t="s">
        <v>88</v>
      </c>
      <c r="AT14" s="58" t="s">
        <v>89</v>
      </c>
      <c r="AU14" s="58" t="s">
        <v>90</v>
      </c>
      <c r="AV14" s="58" t="s">
        <v>91</v>
      </c>
      <c r="AW14" s="58" t="s">
        <v>92</v>
      </c>
      <c r="AX14" s="58" t="s">
        <v>93</v>
      </c>
      <c r="AY14" s="58" t="s">
        <v>113</v>
      </c>
      <c r="AZ14" s="58" t="s">
        <v>94</v>
      </c>
      <c r="BA14" s="58" t="s">
        <v>95</v>
      </c>
      <c r="BB14" s="58" t="s">
        <v>114</v>
      </c>
      <c r="BC14" s="58" t="s">
        <v>115</v>
      </c>
      <c r="BD14" s="58" t="s">
        <v>116</v>
      </c>
      <c r="BE14" s="58" t="s">
        <v>117</v>
      </c>
      <c r="BF14" s="58" t="s">
        <v>118</v>
      </c>
      <c r="BG14" s="59" t="s">
        <v>119</v>
      </c>
      <c r="BH14" s="66" t="s">
        <v>120</v>
      </c>
      <c r="BI14" s="9"/>
      <c r="BJ14" s="9"/>
      <c r="BK14" s="9"/>
      <c r="BM14" s="9"/>
      <c r="BN14" s="9"/>
      <c r="BO14" s="9"/>
      <c r="BP14" s="9"/>
      <c r="BQ14" s="9"/>
      <c r="BR14" s="9"/>
      <c r="BS14" s="9"/>
      <c r="BT14" s="9"/>
      <c r="CB14" s="5"/>
    </row>
    <row r="15" spans="1:80" ht="29.65" customHeight="1">
      <c r="A15" s="1">
        <v>26</v>
      </c>
      <c r="B15" s="222" t="s">
        <v>245</v>
      </c>
      <c r="C15" s="183"/>
      <c r="D15" s="184"/>
      <c r="E15" s="184"/>
      <c r="F15" s="184" t="s">
        <v>39</v>
      </c>
      <c r="G15" s="191" t="s">
        <v>39</v>
      </c>
      <c r="H15" s="184"/>
      <c r="I15" s="223"/>
      <c r="J15" s="224" t="s">
        <v>126</v>
      </c>
      <c r="K15" s="191">
        <v>20</v>
      </c>
      <c r="L15" s="187"/>
      <c r="M15" s="188"/>
      <c r="N15" s="189"/>
      <c r="O15" s="189"/>
      <c r="P15" s="189"/>
      <c r="Q15" s="190"/>
      <c r="R15" s="185"/>
      <c r="S15" s="186"/>
      <c r="T15" s="191"/>
      <c r="U15" s="191"/>
      <c r="V15" s="191"/>
      <c r="W15" s="186"/>
      <c r="X15" s="192"/>
      <c r="Y15" s="192"/>
      <c r="Z15" s="192">
        <v>1</v>
      </c>
      <c r="AA15" s="192"/>
      <c r="AB15" s="192"/>
      <c r="AC15" s="192"/>
      <c r="AD15" s="192"/>
      <c r="AE15" s="192">
        <v>1</v>
      </c>
      <c r="AF15" s="192"/>
      <c r="AG15" s="192"/>
      <c r="AH15" s="192"/>
      <c r="AI15" s="192"/>
      <c r="AJ15" s="192"/>
      <c r="AK15" s="192"/>
      <c r="AL15" s="192"/>
      <c r="AM15" s="192"/>
      <c r="AN15" s="186"/>
      <c r="AO15" s="186"/>
      <c r="AP15" s="186">
        <v>1</v>
      </c>
      <c r="AQ15" s="187"/>
      <c r="AR15" s="185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7"/>
      <c r="BH15" s="193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</row>
    <row r="16" spans="1:80" ht="29.65" customHeight="1">
      <c r="A16" s="1">
        <v>27</v>
      </c>
      <c r="B16" s="3" t="s">
        <v>245</v>
      </c>
      <c r="C16" s="75" t="s">
        <v>39</v>
      </c>
      <c r="D16" s="70"/>
      <c r="E16" s="70"/>
      <c r="F16" s="70"/>
      <c r="G16" s="73" t="s">
        <v>39</v>
      </c>
      <c r="H16" s="70"/>
      <c r="I16" s="77"/>
      <c r="J16" s="76" t="s">
        <v>142</v>
      </c>
      <c r="K16" s="73">
        <v>10</v>
      </c>
      <c r="L16" s="81"/>
      <c r="M16" s="83"/>
      <c r="N16" s="72"/>
      <c r="O16" s="72"/>
      <c r="P16" s="72"/>
      <c r="Q16" s="84"/>
      <c r="R16" s="88"/>
      <c r="S16" s="71"/>
      <c r="T16" s="73"/>
      <c r="U16" s="73"/>
      <c r="V16" s="73"/>
      <c r="W16" s="93"/>
      <c r="X16" s="71"/>
      <c r="Y16" s="71"/>
      <c r="Z16" s="71"/>
      <c r="AA16" s="71"/>
      <c r="AB16" s="71"/>
      <c r="AC16" s="71"/>
      <c r="AD16" s="71"/>
      <c r="AE16" s="71">
        <v>1</v>
      </c>
      <c r="AF16" s="71"/>
      <c r="AG16" s="71"/>
      <c r="AH16" s="71"/>
      <c r="AI16" s="71"/>
      <c r="AJ16" s="71"/>
      <c r="AK16" s="71"/>
      <c r="AL16" s="71"/>
      <c r="AM16" s="71"/>
      <c r="AN16" s="82"/>
      <c r="AO16" s="71"/>
      <c r="AP16" s="71">
        <v>1</v>
      </c>
      <c r="AQ16" s="81"/>
      <c r="AR16" s="88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81"/>
      <c r="BH16" s="89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</row>
    <row r="17" spans="1:71" ht="29.65" customHeight="1">
      <c r="A17" s="1">
        <v>28</v>
      </c>
      <c r="B17" s="182" t="s">
        <v>246</v>
      </c>
      <c r="C17" s="194"/>
      <c r="D17" s="195"/>
      <c r="E17" s="195" t="s">
        <v>39</v>
      </c>
      <c r="F17" s="195"/>
      <c r="G17" s="206"/>
      <c r="H17" s="195"/>
      <c r="I17" s="208"/>
      <c r="J17" s="207" t="s">
        <v>126</v>
      </c>
      <c r="K17" s="206">
        <v>5</v>
      </c>
      <c r="L17" s="198"/>
      <c r="M17" s="199"/>
      <c r="N17" s="200"/>
      <c r="O17" s="200"/>
      <c r="P17" s="200"/>
      <c r="Q17" s="201"/>
      <c r="R17" s="196"/>
      <c r="S17" s="197"/>
      <c r="T17" s="197"/>
      <c r="U17" s="197"/>
      <c r="V17" s="197"/>
      <c r="W17" s="202"/>
      <c r="X17" s="197"/>
      <c r="Y17" s="197"/>
      <c r="Z17" s="197"/>
      <c r="AA17" s="197"/>
      <c r="AB17" s="197"/>
      <c r="AC17" s="197"/>
      <c r="AD17" s="197"/>
      <c r="AE17" s="197">
        <v>1</v>
      </c>
      <c r="AF17" s="197"/>
      <c r="AG17" s="197"/>
      <c r="AH17" s="197"/>
      <c r="AI17" s="197"/>
      <c r="AJ17" s="197"/>
      <c r="AK17" s="197">
        <v>1</v>
      </c>
      <c r="AL17" s="197"/>
      <c r="AM17" s="197"/>
      <c r="AN17" s="203"/>
      <c r="AO17" s="197"/>
      <c r="AP17" s="197">
        <v>1</v>
      </c>
      <c r="AQ17" s="198"/>
      <c r="AR17" s="196"/>
      <c r="AS17" s="197"/>
      <c r="AT17" s="197"/>
      <c r="AU17" s="197"/>
      <c r="AV17" s="197"/>
      <c r="AW17" s="197"/>
      <c r="AX17" s="197"/>
      <c r="AY17" s="197"/>
      <c r="AZ17" s="204"/>
      <c r="BA17" s="197"/>
      <c r="BB17" s="197"/>
      <c r="BC17" s="197"/>
      <c r="BD17" s="197"/>
      <c r="BE17" s="197"/>
      <c r="BF17" s="197"/>
      <c r="BG17" s="198"/>
      <c r="BH17" s="205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</row>
    <row r="18" spans="1:71" ht="29.65" customHeight="1">
      <c r="A18" s="1">
        <v>29</v>
      </c>
      <c r="B18" s="3" t="s">
        <v>247</v>
      </c>
      <c r="C18" s="75" t="s">
        <v>39</v>
      </c>
      <c r="D18" s="70"/>
      <c r="E18" s="70"/>
      <c r="F18" s="70"/>
      <c r="G18" s="73" t="s">
        <v>39</v>
      </c>
      <c r="H18" s="70"/>
      <c r="I18" s="77"/>
      <c r="J18" s="76" t="s">
        <v>142</v>
      </c>
      <c r="K18" s="73">
        <v>10</v>
      </c>
      <c r="L18" s="81"/>
      <c r="M18" s="83"/>
      <c r="N18" s="72"/>
      <c r="O18" s="72"/>
      <c r="P18" s="72"/>
      <c r="Q18" s="84"/>
      <c r="R18" s="88"/>
      <c r="S18" s="71"/>
      <c r="T18" s="71"/>
      <c r="U18" s="71"/>
      <c r="V18" s="71"/>
      <c r="W18" s="93"/>
      <c r="X18" s="71"/>
      <c r="Y18" s="71"/>
      <c r="Z18" s="71"/>
      <c r="AA18" s="71"/>
      <c r="AB18" s="71"/>
      <c r="AC18" s="71"/>
      <c r="AD18" s="71"/>
      <c r="AE18" s="71">
        <v>1</v>
      </c>
      <c r="AF18" s="71"/>
      <c r="AG18" s="71"/>
      <c r="AH18" s="71"/>
      <c r="AI18" s="71"/>
      <c r="AJ18" s="71"/>
      <c r="AK18" s="71"/>
      <c r="AL18" s="71"/>
      <c r="AM18" s="71"/>
      <c r="AN18" s="82"/>
      <c r="AO18" s="71"/>
      <c r="AP18" s="71">
        <v>1</v>
      </c>
      <c r="AQ18" s="81"/>
      <c r="AR18" s="88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81"/>
      <c r="BH18" s="89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</row>
    <row r="19" spans="1:71" ht="29.65" customHeight="1">
      <c r="A19" s="1">
        <v>30</v>
      </c>
      <c r="B19" s="182" t="s">
        <v>248</v>
      </c>
      <c r="C19" s="194" t="s">
        <v>39</v>
      </c>
      <c r="D19" s="195"/>
      <c r="E19" s="195"/>
      <c r="F19" s="195"/>
      <c r="G19" s="206" t="s">
        <v>39</v>
      </c>
      <c r="H19" s="195"/>
      <c r="I19" s="208"/>
      <c r="J19" s="207" t="s">
        <v>142</v>
      </c>
      <c r="K19" s="206">
        <v>10</v>
      </c>
      <c r="L19" s="198"/>
      <c r="M19" s="199"/>
      <c r="N19" s="200"/>
      <c r="O19" s="200"/>
      <c r="P19" s="200"/>
      <c r="Q19" s="201"/>
      <c r="R19" s="196"/>
      <c r="S19" s="197"/>
      <c r="T19" s="197"/>
      <c r="U19" s="197"/>
      <c r="V19" s="197"/>
      <c r="W19" s="202"/>
      <c r="X19" s="206"/>
      <c r="Y19" s="197"/>
      <c r="Z19" s="197">
        <v>1</v>
      </c>
      <c r="AA19" s="197"/>
      <c r="AB19" s="197"/>
      <c r="AC19" s="197"/>
      <c r="AD19" s="197"/>
      <c r="AE19" s="197">
        <v>1</v>
      </c>
      <c r="AF19" s="197"/>
      <c r="AG19" s="197"/>
      <c r="AH19" s="197"/>
      <c r="AI19" s="197"/>
      <c r="AJ19" s="197"/>
      <c r="AK19" s="197"/>
      <c r="AL19" s="197"/>
      <c r="AM19" s="197"/>
      <c r="AN19" s="203"/>
      <c r="AO19" s="197"/>
      <c r="AP19" s="197">
        <v>1</v>
      </c>
      <c r="AQ19" s="198"/>
      <c r="AR19" s="196"/>
      <c r="AS19" s="197"/>
      <c r="AT19" s="197"/>
      <c r="AU19" s="197"/>
      <c r="AV19" s="197"/>
      <c r="AW19" s="197"/>
      <c r="AX19" s="197"/>
      <c r="AY19" s="197"/>
      <c r="AZ19" s="197"/>
      <c r="BA19" s="197"/>
      <c r="BB19" s="197"/>
      <c r="BC19" s="197"/>
      <c r="BD19" s="197"/>
      <c r="BE19" s="197"/>
      <c r="BF19" s="197"/>
      <c r="BG19" s="198"/>
      <c r="BH19" s="205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</row>
    <row r="20" spans="1:71" ht="29.65" customHeight="1">
      <c r="A20" s="1">
        <v>31</v>
      </c>
      <c r="B20" s="3" t="s">
        <v>249</v>
      </c>
      <c r="C20" s="75"/>
      <c r="D20" s="70"/>
      <c r="E20" s="70" t="s">
        <v>39</v>
      </c>
      <c r="F20" s="70"/>
      <c r="G20" s="73"/>
      <c r="H20" s="73"/>
      <c r="I20" s="77"/>
      <c r="J20" s="76" t="s">
        <v>126</v>
      </c>
      <c r="K20" s="73">
        <v>5</v>
      </c>
      <c r="L20" s="81"/>
      <c r="M20" s="83"/>
      <c r="N20" s="72"/>
      <c r="O20" s="72"/>
      <c r="P20" s="72"/>
      <c r="Q20" s="84"/>
      <c r="R20" s="88"/>
      <c r="S20" s="71"/>
      <c r="T20" s="71"/>
      <c r="U20" s="71"/>
      <c r="V20" s="71"/>
      <c r="W20" s="93"/>
      <c r="X20" s="73"/>
      <c r="Y20" s="71"/>
      <c r="Z20" s="71"/>
      <c r="AA20" s="71"/>
      <c r="AB20" s="71"/>
      <c r="AC20" s="71"/>
      <c r="AD20" s="71"/>
      <c r="AE20" s="71">
        <v>1</v>
      </c>
      <c r="AF20" s="71"/>
      <c r="AG20" s="71"/>
      <c r="AH20" s="71"/>
      <c r="AI20" s="71"/>
      <c r="AJ20" s="71"/>
      <c r="AK20" s="71"/>
      <c r="AL20" s="71"/>
      <c r="AM20" s="71"/>
      <c r="AN20" s="82"/>
      <c r="AO20" s="71"/>
      <c r="AP20" s="71">
        <v>1</v>
      </c>
      <c r="AQ20" s="81"/>
      <c r="AR20" s="88"/>
      <c r="AS20" s="71"/>
      <c r="AT20" s="71"/>
      <c r="AU20" s="71"/>
      <c r="AV20" s="71"/>
      <c r="AW20" s="71"/>
      <c r="AX20" s="71"/>
      <c r="AY20" s="71"/>
      <c r="AZ20" s="74"/>
      <c r="BA20" s="71"/>
      <c r="BB20" s="71"/>
      <c r="BC20" s="71"/>
      <c r="BD20" s="71"/>
      <c r="BE20" s="71"/>
      <c r="BF20" s="71"/>
      <c r="BG20" s="81"/>
      <c r="BH20" s="89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</row>
    <row r="21" spans="1:71" ht="29.65" customHeight="1">
      <c r="A21" s="1">
        <v>32</v>
      </c>
      <c r="B21" s="182"/>
      <c r="C21" s="207"/>
      <c r="D21" s="206"/>
      <c r="E21" s="206"/>
      <c r="F21" s="206"/>
      <c r="G21" s="206"/>
      <c r="H21" s="206"/>
      <c r="I21" s="208"/>
      <c r="J21" s="207"/>
      <c r="K21" s="206"/>
      <c r="L21" s="198"/>
      <c r="M21" s="199"/>
      <c r="N21" s="200"/>
      <c r="O21" s="200"/>
      <c r="P21" s="200"/>
      <c r="Q21" s="201"/>
      <c r="R21" s="196"/>
      <c r="S21" s="197"/>
      <c r="T21" s="197"/>
      <c r="U21" s="197"/>
      <c r="V21" s="197"/>
      <c r="W21" s="202"/>
      <c r="X21" s="206"/>
      <c r="Y21" s="197"/>
      <c r="Z21" s="197"/>
      <c r="AA21" s="197"/>
      <c r="AB21" s="197"/>
      <c r="AC21" s="197"/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203"/>
      <c r="AO21" s="197"/>
      <c r="AP21" s="197"/>
      <c r="AQ21" s="198"/>
      <c r="AR21" s="196"/>
      <c r="AS21" s="197"/>
      <c r="AT21" s="197"/>
      <c r="AU21" s="197"/>
      <c r="AV21" s="197"/>
      <c r="AW21" s="197"/>
      <c r="AX21" s="197"/>
      <c r="AY21" s="197"/>
      <c r="AZ21" s="197"/>
      <c r="BA21" s="197"/>
      <c r="BB21" s="197"/>
      <c r="BC21" s="197"/>
      <c r="BD21" s="197"/>
      <c r="BE21" s="197"/>
      <c r="BF21" s="197"/>
      <c r="BG21" s="198"/>
      <c r="BH21" s="205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</row>
    <row r="22" spans="1:71" ht="29.65" customHeight="1">
      <c r="A22" s="1">
        <v>33</v>
      </c>
      <c r="C22" s="76"/>
      <c r="D22" s="73"/>
      <c r="E22" s="73"/>
      <c r="F22" s="73"/>
      <c r="G22" s="73"/>
      <c r="H22" s="73"/>
      <c r="I22" s="77"/>
      <c r="J22" s="76"/>
      <c r="K22" s="73"/>
      <c r="L22" s="81"/>
      <c r="M22" s="83"/>
      <c r="N22" s="72"/>
      <c r="O22" s="72"/>
      <c r="P22" s="72"/>
      <c r="Q22" s="84"/>
      <c r="R22" s="88"/>
      <c r="S22" s="71"/>
      <c r="T22" s="71"/>
      <c r="U22" s="71"/>
      <c r="V22" s="71"/>
      <c r="W22" s="93"/>
      <c r="X22" s="73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82"/>
      <c r="AO22" s="71"/>
      <c r="AP22" s="71"/>
      <c r="AQ22" s="81"/>
      <c r="AR22" s="88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81"/>
      <c r="BH22" s="89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</row>
    <row r="23" spans="1:71" ht="29.65" customHeight="1">
      <c r="A23" s="1">
        <v>34</v>
      </c>
      <c r="B23" s="182"/>
      <c r="C23" s="207"/>
      <c r="D23" s="206"/>
      <c r="E23" s="206"/>
      <c r="F23" s="206"/>
      <c r="G23" s="206"/>
      <c r="H23" s="206"/>
      <c r="I23" s="208"/>
      <c r="J23" s="207"/>
      <c r="K23" s="206"/>
      <c r="L23" s="198"/>
      <c r="M23" s="199"/>
      <c r="N23" s="200"/>
      <c r="O23" s="200"/>
      <c r="P23" s="200"/>
      <c r="Q23" s="201"/>
      <c r="R23" s="196"/>
      <c r="S23" s="197"/>
      <c r="T23" s="197"/>
      <c r="U23" s="197"/>
      <c r="V23" s="197"/>
      <c r="W23" s="202"/>
      <c r="X23" s="206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  <c r="AM23" s="197"/>
      <c r="AN23" s="203"/>
      <c r="AO23" s="197"/>
      <c r="AP23" s="197"/>
      <c r="AQ23" s="198"/>
      <c r="AR23" s="196"/>
      <c r="AS23" s="197"/>
      <c r="AT23" s="197"/>
      <c r="AU23" s="197"/>
      <c r="AV23" s="197"/>
      <c r="AW23" s="197"/>
      <c r="AX23" s="197"/>
      <c r="AY23" s="197"/>
      <c r="AZ23" s="197"/>
      <c r="BA23" s="197"/>
      <c r="BB23" s="197"/>
      <c r="BC23" s="197"/>
      <c r="BD23" s="197"/>
      <c r="BE23" s="197"/>
      <c r="BF23" s="197"/>
      <c r="BG23" s="198"/>
      <c r="BH23" s="205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</row>
    <row r="24" spans="1:71" ht="30" customHeight="1">
      <c r="A24" s="1">
        <v>35</v>
      </c>
      <c r="C24" s="76"/>
      <c r="D24" s="73"/>
      <c r="E24" s="73"/>
      <c r="F24" s="73"/>
      <c r="G24" s="73"/>
      <c r="H24" s="73"/>
      <c r="I24" s="77"/>
      <c r="J24" s="76"/>
      <c r="K24" s="73"/>
      <c r="L24" s="81"/>
      <c r="M24" s="83"/>
      <c r="N24" s="72"/>
      <c r="O24" s="72"/>
      <c r="P24" s="72"/>
      <c r="Q24" s="84"/>
      <c r="R24" s="88"/>
      <c r="S24" s="71"/>
      <c r="T24" s="71"/>
      <c r="U24" s="71"/>
      <c r="V24" s="71"/>
      <c r="W24" s="93"/>
      <c r="X24" s="73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82"/>
      <c r="AO24" s="71"/>
      <c r="AP24" s="71"/>
      <c r="AQ24" s="81"/>
      <c r="AR24" s="88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81"/>
      <c r="BH24" s="89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</row>
    <row r="25" spans="1:71" ht="29.65" customHeight="1">
      <c r="A25" s="1">
        <v>36</v>
      </c>
      <c r="B25" s="182"/>
      <c r="C25" s="207"/>
      <c r="D25" s="206"/>
      <c r="E25" s="206"/>
      <c r="F25" s="206"/>
      <c r="G25" s="206"/>
      <c r="H25" s="206"/>
      <c r="I25" s="208"/>
      <c r="J25" s="207"/>
      <c r="K25" s="206"/>
      <c r="L25" s="198"/>
      <c r="M25" s="199"/>
      <c r="N25" s="200"/>
      <c r="O25" s="200"/>
      <c r="P25" s="200"/>
      <c r="Q25" s="201"/>
      <c r="R25" s="196"/>
      <c r="S25" s="197"/>
      <c r="T25" s="197"/>
      <c r="U25" s="197"/>
      <c r="V25" s="197"/>
      <c r="W25" s="197"/>
      <c r="X25" s="209"/>
      <c r="Y25" s="210"/>
      <c r="Z25" s="210"/>
      <c r="AA25" s="210"/>
      <c r="AB25" s="210"/>
      <c r="AC25" s="210"/>
      <c r="AD25" s="210"/>
      <c r="AE25" s="210"/>
      <c r="AF25" s="210"/>
      <c r="AG25" s="210"/>
      <c r="AH25" s="210"/>
      <c r="AI25" s="210"/>
      <c r="AJ25" s="210"/>
      <c r="AK25" s="210"/>
      <c r="AL25" s="210"/>
      <c r="AM25" s="210"/>
      <c r="AN25" s="197"/>
      <c r="AO25" s="197"/>
      <c r="AP25" s="197"/>
      <c r="AQ25" s="198"/>
      <c r="AR25" s="196"/>
      <c r="AS25" s="197"/>
      <c r="AT25" s="197"/>
      <c r="AU25" s="197"/>
      <c r="AV25" s="197"/>
      <c r="AW25" s="197"/>
      <c r="AX25" s="197"/>
      <c r="AY25" s="197"/>
      <c r="AZ25" s="197"/>
      <c r="BA25" s="197"/>
      <c r="BB25" s="197"/>
      <c r="BC25" s="197"/>
      <c r="BD25" s="197"/>
      <c r="BE25" s="197"/>
      <c r="BF25" s="197"/>
      <c r="BG25" s="198"/>
      <c r="BH25" s="205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</row>
    <row r="26" spans="1:71" ht="29.65" customHeight="1">
      <c r="A26" s="1">
        <v>37</v>
      </c>
      <c r="C26" s="76"/>
      <c r="D26" s="73"/>
      <c r="E26" s="73"/>
      <c r="F26" s="73"/>
      <c r="G26" s="73"/>
      <c r="H26" s="73"/>
      <c r="I26" s="77"/>
      <c r="J26" s="76"/>
      <c r="K26" s="73"/>
      <c r="L26" s="81"/>
      <c r="M26" s="83"/>
      <c r="N26" s="72"/>
      <c r="O26" s="72"/>
      <c r="P26" s="72"/>
      <c r="Q26" s="84"/>
      <c r="R26" s="88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81"/>
      <c r="AR26" s="88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81"/>
      <c r="BH26" s="89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</row>
    <row r="27" spans="1:71" ht="29.65" customHeight="1">
      <c r="A27" s="1">
        <v>38</v>
      </c>
      <c r="B27" s="182"/>
      <c r="C27" s="207"/>
      <c r="D27" s="206"/>
      <c r="E27" s="206"/>
      <c r="F27" s="206"/>
      <c r="G27" s="206"/>
      <c r="H27" s="206"/>
      <c r="I27" s="208"/>
      <c r="J27" s="207"/>
      <c r="K27" s="206"/>
      <c r="L27" s="208"/>
      <c r="M27" s="199"/>
      <c r="N27" s="200"/>
      <c r="O27" s="200"/>
      <c r="P27" s="200"/>
      <c r="Q27" s="201"/>
      <c r="R27" s="196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8"/>
      <c r="AR27" s="196"/>
      <c r="AS27" s="197"/>
      <c r="AT27" s="197"/>
      <c r="AU27" s="197"/>
      <c r="AV27" s="197"/>
      <c r="AW27" s="197"/>
      <c r="AX27" s="197"/>
      <c r="AY27" s="197"/>
      <c r="AZ27" s="197"/>
      <c r="BA27" s="204"/>
      <c r="BB27" s="197"/>
      <c r="BC27" s="197"/>
      <c r="BD27" s="197"/>
      <c r="BE27" s="197"/>
      <c r="BF27" s="197"/>
      <c r="BG27" s="198"/>
      <c r="BH27" s="205"/>
      <c r="BI27" s="1"/>
      <c r="BJ27" s="1"/>
      <c r="BK27" s="2"/>
      <c r="BL27" s="1"/>
      <c r="BM27" s="2"/>
      <c r="BN27" s="1"/>
      <c r="BO27" s="1"/>
      <c r="BP27" s="1"/>
      <c r="BQ27" s="1"/>
      <c r="BR27" s="1"/>
      <c r="BS27" s="1"/>
    </row>
    <row r="28" spans="1:71" ht="29.65" customHeight="1">
      <c r="A28" s="1">
        <v>39</v>
      </c>
      <c r="C28" s="76"/>
      <c r="D28" s="73"/>
      <c r="E28" s="73"/>
      <c r="F28" s="73"/>
      <c r="G28" s="73"/>
      <c r="H28" s="73"/>
      <c r="I28" s="77"/>
      <c r="J28" s="76"/>
      <c r="K28" s="73"/>
      <c r="L28" s="77"/>
      <c r="M28" s="83"/>
      <c r="N28" s="72"/>
      <c r="O28" s="72"/>
      <c r="P28" s="72"/>
      <c r="Q28" s="84"/>
      <c r="R28" s="88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81"/>
      <c r="AR28" s="88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81"/>
      <c r="BH28" s="89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</row>
    <row r="29" spans="1:71" ht="29.65" customHeight="1">
      <c r="A29" s="1">
        <v>40</v>
      </c>
      <c r="B29" s="182"/>
      <c r="C29" s="207"/>
      <c r="D29" s="206"/>
      <c r="E29" s="206"/>
      <c r="F29" s="206"/>
      <c r="G29" s="206"/>
      <c r="H29" s="206"/>
      <c r="I29" s="208"/>
      <c r="J29" s="207"/>
      <c r="K29" s="206"/>
      <c r="L29" s="208"/>
      <c r="M29" s="199"/>
      <c r="N29" s="200"/>
      <c r="O29" s="200"/>
      <c r="P29" s="200"/>
      <c r="Q29" s="201"/>
      <c r="R29" s="196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AQ29" s="198"/>
      <c r="AR29" s="196"/>
      <c r="AS29" s="197"/>
      <c r="AT29" s="197"/>
      <c r="AU29" s="197"/>
      <c r="AV29" s="197"/>
      <c r="AW29" s="197"/>
      <c r="AX29" s="197"/>
      <c r="AY29" s="197"/>
      <c r="AZ29" s="197"/>
      <c r="BA29" s="197"/>
      <c r="BB29" s="197"/>
      <c r="BC29" s="197"/>
      <c r="BD29" s="197"/>
      <c r="BE29" s="197"/>
      <c r="BF29" s="197"/>
      <c r="BG29" s="198"/>
      <c r="BH29" s="205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</row>
    <row r="30" spans="1:71" ht="29.65" customHeight="1">
      <c r="A30" s="1">
        <v>41</v>
      </c>
      <c r="C30" s="76"/>
      <c r="D30" s="73"/>
      <c r="E30" s="73"/>
      <c r="F30" s="73"/>
      <c r="G30" s="73"/>
      <c r="H30" s="73"/>
      <c r="I30" s="77"/>
      <c r="J30" s="76"/>
      <c r="K30" s="73"/>
      <c r="L30" s="77"/>
      <c r="M30" s="83"/>
      <c r="N30" s="72"/>
      <c r="O30" s="72"/>
      <c r="P30" s="72"/>
      <c r="Q30" s="84"/>
      <c r="R30" s="88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81"/>
      <c r="AR30" s="88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81"/>
      <c r="BH30" s="89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</row>
    <row r="31" spans="1:71" ht="30" customHeight="1">
      <c r="A31" s="1">
        <v>42</v>
      </c>
      <c r="B31" s="182"/>
      <c r="C31" s="207"/>
      <c r="D31" s="206"/>
      <c r="E31" s="206"/>
      <c r="F31" s="206"/>
      <c r="G31" s="206"/>
      <c r="H31" s="206"/>
      <c r="I31" s="208"/>
      <c r="J31" s="207"/>
      <c r="K31" s="206"/>
      <c r="L31" s="208"/>
      <c r="M31" s="199"/>
      <c r="N31" s="200"/>
      <c r="O31" s="200"/>
      <c r="P31" s="200"/>
      <c r="Q31" s="201"/>
      <c r="R31" s="196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8"/>
      <c r="AR31" s="196"/>
      <c r="AS31" s="197"/>
      <c r="AT31" s="197"/>
      <c r="AU31" s="197"/>
      <c r="AV31" s="197"/>
      <c r="AW31" s="197"/>
      <c r="AX31" s="197"/>
      <c r="AY31" s="197"/>
      <c r="AZ31" s="197"/>
      <c r="BA31" s="197"/>
      <c r="BB31" s="197"/>
      <c r="BC31" s="197"/>
      <c r="BD31" s="197"/>
      <c r="BE31" s="197"/>
      <c r="BF31" s="197"/>
      <c r="BG31" s="198"/>
      <c r="BH31" s="205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</row>
    <row r="32" spans="1:71" ht="29.65" customHeight="1">
      <c r="A32" s="1">
        <v>43</v>
      </c>
      <c r="C32" s="76"/>
      <c r="D32" s="73"/>
      <c r="E32" s="73"/>
      <c r="F32" s="73"/>
      <c r="G32" s="73"/>
      <c r="H32" s="73"/>
      <c r="I32" s="77"/>
      <c r="J32" s="76"/>
      <c r="K32" s="73"/>
      <c r="L32" s="77"/>
      <c r="M32" s="83"/>
      <c r="N32" s="72"/>
      <c r="O32" s="72"/>
      <c r="P32" s="72"/>
      <c r="Q32" s="84"/>
      <c r="R32" s="88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81"/>
      <c r="AR32" s="88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81"/>
      <c r="BH32" s="89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</row>
    <row r="33" spans="1:75" ht="30.6" customHeight="1">
      <c r="A33" s="1">
        <v>44</v>
      </c>
      <c r="B33" s="182"/>
      <c r="C33" s="207"/>
      <c r="D33" s="206"/>
      <c r="E33" s="206"/>
      <c r="F33" s="206"/>
      <c r="G33" s="206"/>
      <c r="H33" s="206"/>
      <c r="I33" s="208"/>
      <c r="J33" s="207"/>
      <c r="K33" s="206"/>
      <c r="L33" s="208"/>
      <c r="M33" s="199"/>
      <c r="N33" s="200"/>
      <c r="O33" s="200"/>
      <c r="P33" s="200"/>
      <c r="Q33" s="201"/>
      <c r="R33" s="196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8"/>
      <c r="AR33" s="196"/>
      <c r="AS33" s="197"/>
      <c r="AT33" s="197"/>
      <c r="AU33" s="197"/>
      <c r="AV33" s="197"/>
      <c r="AW33" s="197"/>
      <c r="AX33" s="197"/>
      <c r="AY33" s="197"/>
      <c r="AZ33" s="197"/>
      <c r="BA33" s="197"/>
      <c r="BB33" s="197"/>
      <c r="BC33" s="197"/>
      <c r="BD33" s="197"/>
      <c r="BE33" s="197"/>
      <c r="BF33" s="197"/>
      <c r="BG33" s="198"/>
      <c r="BH33" s="205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</row>
    <row r="34" spans="1:75" ht="29.65" customHeight="1">
      <c r="A34" s="1">
        <v>45</v>
      </c>
      <c r="C34" s="76"/>
      <c r="D34" s="73"/>
      <c r="E34" s="73"/>
      <c r="F34" s="73"/>
      <c r="G34" s="73"/>
      <c r="H34" s="73"/>
      <c r="I34" s="77"/>
      <c r="J34" s="76"/>
      <c r="K34" s="73"/>
      <c r="L34" s="77"/>
      <c r="M34" s="83"/>
      <c r="N34" s="72"/>
      <c r="O34" s="72"/>
      <c r="P34" s="72"/>
      <c r="Q34" s="84"/>
      <c r="R34" s="88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81"/>
      <c r="AR34" s="88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81"/>
      <c r="BH34" s="89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</row>
    <row r="35" spans="1:75" ht="29.65" customHeight="1">
      <c r="A35" s="1">
        <v>46</v>
      </c>
      <c r="B35" s="182"/>
      <c r="C35" s="207"/>
      <c r="D35" s="206"/>
      <c r="E35" s="206"/>
      <c r="F35" s="206"/>
      <c r="G35" s="206"/>
      <c r="H35" s="206"/>
      <c r="I35" s="208"/>
      <c r="J35" s="207"/>
      <c r="K35" s="206"/>
      <c r="L35" s="208"/>
      <c r="M35" s="199"/>
      <c r="N35" s="200"/>
      <c r="O35" s="200"/>
      <c r="P35" s="200"/>
      <c r="Q35" s="201"/>
      <c r="R35" s="196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  <c r="AP35" s="197"/>
      <c r="AQ35" s="198"/>
      <c r="AR35" s="196"/>
      <c r="AS35" s="197"/>
      <c r="AT35" s="197"/>
      <c r="AU35" s="197"/>
      <c r="AV35" s="197"/>
      <c r="AW35" s="197"/>
      <c r="AX35" s="197"/>
      <c r="AY35" s="197"/>
      <c r="AZ35" s="197"/>
      <c r="BA35" s="197"/>
      <c r="BB35" s="197"/>
      <c r="BC35" s="197"/>
      <c r="BD35" s="197"/>
      <c r="BE35" s="197"/>
      <c r="BF35" s="197"/>
      <c r="BG35" s="198"/>
      <c r="BH35" s="205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</row>
    <row r="36" spans="1:75" ht="29.65" customHeight="1">
      <c r="A36" s="1">
        <v>47</v>
      </c>
      <c r="C36" s="76"/>
      <c r="D36" s="73"/>
      <c r="E36" s="73"/>
      <c r="F36" s="73"/>
      <c r="G36" s="73"/>
      <c r="H36" s="73"/>
      <c r="I36" s="77"/>
      <c r="J36" s="76"/>
      <c r="K36" s="73"/>
      <c r="L36" s="77"/>
      <c r="M36" s="83"/>
      <c r="N36" s="72"/>
      <c r="O36" s="72"/>
      <c r="P36" s="72"/>
      <c r="Q36" s="84"/>
      <c r="R36" s="88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81"/>
      <c r="AR36" s="88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81"/>
      <c r="BH36" s="89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</row>
    <row r="37" spans="1:75" ht="29.65" customHeight="1">
      <c r="A37" s="1">
        <v>48</v>
      </c>
      <c r="B37" s="182"/>
      <c r="C37" s="207"/>
      <c r="D37" s="206"/>
      <c r="E37" s="206"/>
      <c r="F37" s="206"/>
      <c r="G37" s="206"/>
      <c r="H37" s="206"/>
      <c r="I37" s="208"/>
      <c r="J37" s="207"/>
      <c r="K37" s="206"/>
      <c r="L37" s="208"/>
      <c r="M37" s="199"/>
      <c r="N37" s="200"/>
      <c r="O37" s="200"/>
      <c r="P37" s="200"/>
      <c r="Q37" s="201"/>
      <c r="R37" s="196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  <c r="AP37" s="197"/>
      <c r="AQ37" s="198"/>
      <c r="AR37" s="196"/>
      <c r="AS37" s="197"/>
      <c r="AT37" s="197"/>
      <c r="AU37" s="197"/>
      <c r="AV37" s="197"/>
      <c r="AW37" s="197"/>
      <c r="AX37" s="197"/>
      <c r="AY37" s="197"/>
      <c r="AZ37" s="197"/>
      <c r="BA37" s="197"/>
      <c r="BB37" s="197"/>
      <c r="BC37" s="197"/>
      <c r="BD37" s="197"/>
      <c r="BE37" s="197"/>
      <c r="BF37" s="197"/>
      <c r="BG37" s="198"/>
      <c r="BH37" s="205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</row>
    <row r="38" spans="1:75" ht="29.65" customHeight="1">
      <c r="A38" s="1">
        <v>49</v>
      </c>
      <c r="C38" s="76"/>
      <c r="D38" s="73"/>
      <c r="E38" s="73"/>
      <c r="F38" s="73"/>
      <c r="G38" s="73"/>
      <c r="H38" s="73"/>
      <c r="I38" s="77"/>
      <c r="J38" s="76"/>
      <c r="K38" s="73"/>
      <c r="L38" s="77"/>
      <c r="M38" s="83"/>
      <c r="N38" s="72"/>
      <c r="O38" s="72"/>
      <c r="P38" s="72"/>
      <c r="Q38" s="84"/>
      <c r="R38" s="88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81"/>
      <c r="AR38" s="88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81"/>
      <c r="BH38" s="89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</row>
    <row r="39" spans="1:75" ht="29.65" customHeight="1" thickBot="1">
      <c r="A39" s="1">
        <v>50</v>
      </c>
      <c r="B39" s="182"/>
      <c r="C39" s="211"/>
      <c r="D39" s="212"/>
      <c r="E39" s="212"/>
      <c r="F39" s="212"/>
      <c r="G39" s="212"/>
      <c r="H39" s="212"/>
      <c r="I39" s="213"/>
      <c r="J39" s="211"/>
      <c r="K39" s="212"/>
      <c r="L39" s="213"/>
      <c r="M39" s="214"/>
      <c r="N39" s="215"/>
      <c r="O39" s="215"/>
      <c r="P39" s="215"/>
      <c r="Q39" s="216"/>
      <c r="R39" s="217"/>
      <c r="S39" s="218"/>
      <c r="T39" s="218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18"/>
      <c r="AM39" s="218"/>
      <c r="AN39" s="218"/>
      <c r="AO39" s="218"/>
      <c r="AP39" s="218"/>
      <c r="AQ39" s="219"/>
      <c r="AR39" s="217"/>
      <c r="AS39" s="218"/>
      <c r="AT39" s="218"/>
      <c r="AU39" s="218"/>
      <c r="AV39" s="218"/>
      <c r="AW39" s="218"/>
      <c r="AX39" s="218"/>
      <c r="AY39" s="218"/>
      <c r="AZ39" s="218"/>
      <c r="BA39" s="218"/>
      <c r="BB39" s="218"/>
      <c r="BC39" s="218"/>
      <c r="BD39" s="218"/>
      <c r="BE39" s="218"/>
      <c r="BF39" s="218"/>
      <c r="BG39" s="219"/>
      <c r="BH39" s="220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</row>
    <row r="40" spans="1:75" ht="21" thickBot="1">
      <c r="A40" s="1"/>
      <c r="B40" s="69"/>
      <c r="C40" s="78"/>
      <c r="D40" s="79"/>
      <c r="E40" s="79"/>
      <c r="F40" s="79"/>
      <c r="G40" s="79"/>
      <c r="H40" s="79"/>
      <c r="I40" s="80"/>
      <c r="J40" s="78"/>
      <c r="K40" s="79"/>
      <c r="L40" s="80"/>
      <c r="M40" s="85"/>
      <c r="N40" s="86"/>
      <c r="O40" s="86"/>
      <c r="P40" s="86"/>
      <c r="Q40" s="87"/>
      <c r="R40" s="85"/>
      <c r="S40" s="86"/>
      <c r="T40" s="86"/>
      <c r="U40" s="86"/>
      <c r="V40" s="86"/>
      <c r="W40" s="86"/>
      <c r="X40" s="86"/>
      <c r="Y40" s="86">
        <f>SUM(Y15:Y39)</f>
        <v>0</v>
      </c>
      <c r="Z40" s="86"/>
      <c r="AA40" s="86"/>
      <c r="AB40" s="86"/>
      <c r="AC40" s="86">
        <f>SUM(AC15:AC39)</f>
        <v>0</v>
      </c>
      <c r="AD40" s="86"/>
      <c r="AE40" s="86">
        <v>6</v>
      </c>
      <c r="AF40" s="86"/>
      <c r="AG40" s="86"/>
      <c r="AH40" s="86"/>
      <c r="AI40" s="86"/>
      <c r="AJ40" s="86"/>
      <c r="AK40" s="86"/>
      <c r="AL40" s="86"/>
      <c r="AM40" s="86"/>
      <c r="AN40" s="86"/>
      <c r="AO40" s="86">
        <f>SUM(AO15:AO39)</f>
        <v>0</v>
      </c>
      <c r="AP40" s="86">
        <f>SUM(AP15:AP39)</f>
        <v>6</v>
      </c>
      <c r="AQ40" s="87"/>
      <c r="AR40" s="85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6"/>
      <c r="BD40" s="86"/>
      <c r="BE40" s="86"/>
      <c r="BF40" s="86"/>
      <c r="BG40" s="87"/>
      <c r="BH40" s="90">
        <f t="shared" ref="BH40" si="0">SUM(BH15:BH39)</f>
        <v>0</v>
      </c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</row>
    <row r="41" spans="1:75">
      <c r="A41" s="8"/>
      <c r="B41" s="68" t="s">
        <v>145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62"/>
      <c r="N41" s="63"/>
      <c r="O41" s="64"/>
      <c r="P41" s="63"/>
      <c r="Q41" s="65"/>
      <c r="R41" s="60"/>
      <c r="S41" s="60"/>
      <c r="T41" s="60"/>
      <c r="U41" s="60"/>
      <c r="V41" s="60"/>
      <c r="W41" s="60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6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</row>
    <row r="42" spans="1:75">
      <c r="A42" s="8"/>
      <c r="B42" s="13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0"/>
      <c r="N42" s="10"/>
      <c r="O42" s="10"/>
      <c r="P42" s="10"/>
      <c r="Q42" s="11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5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</row>
    <row r="43" spans="1:75">
      <c r="A43" s="8"/>
      <c r="B43" s="16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0"/>
      <c r="N43" s="10"/>
      <c r="O43" s="10"/>
      <c r="P43" s="10"/>
      <c r="Q43" s="11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5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</row>
    <row r="44" spans="1:75">
      <c r="A44" s="8"/>
      <c r="B44" s="16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0"/>
      <c r="N44" s="10"/>
      <c r="O44" s="10"/>
      <c r="P44" s="10"/>
      <c r="Q44" s="11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5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</row>
    <row r="45" spans="1:75">
      <c r="A45" s="1"/>
      <c r="Q45" s="2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</row>
    <row r="46" spans="1:75">
      <c r="A46" s="1"/>
      <c r="Q46" s="2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</row>
    <row r="47" spans="1:75">
      <c r="A47" s="1"/>
      <c r="Q47" s="2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</row>
    <row r="48" spans="1: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2"/>
      <c r="N48" s="2"/>
      <c r="O48" s="2"/>
      <c r="P48" s="2"/>
      <c r="Q48" s="2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</row>
    <row r="49" spans="1:7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2"/>
      <c r="N49" s="2"/>
      <c r="O49" s="2"/>
      <c r="P49" s="2"/>
      <c r="Q49" s="2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</row>
    <row r="50" spans="1:7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2"/>
      <c r="N50" s="2"/>
      <c r="O50" s="2"/>
      <c r="P50" s="2"/>
      <c r="Q50" s="2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</row>
    <row r="51" spans="1:7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2"/>
      <c r="N51" s="2"/>
      <c r="O51" s="2"/>
      <c r="P51" s="2"/>
      <c r="Q51" s="2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</row>
    <row r="52" spans="1:7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2"/>
      <c r="N52" s="2"/>
      <c r="O52" s="2"/>
      <c r="P52" s="2"/>
      <c r="Q52" s="2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</row>
    <row r="53" spans="1:7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2"/>
      <c r="N53" s="2"/>
      <c r="O53" s="2"/>
      <c r="P53" s="2"/>
      <c r="Q53" s="2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</row>
    <row r="54" spans="1:7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2"/>
      <c r="N54" s="2"/>
      <c r="O54" s="2"/>
      <c r="P54" s="2"/>
      <c r="Q54" s="2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</row>
    <row r="55" spans="1:7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2"/>
      <c r="N55" s="2"/>
      <c r="O55" s="2"/>
      <c r="P55" s="2"/>
      <c r="Q55" s="2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</row>
    <row r="56" spans="1:7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2"/>
      <c r="N56" s="2"/>
      <c r="O56" s="2"/>
      <c r="P56" s="2"/>
      <c r="Q56" s="2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</row>
    <row r="57" spans="1:7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2"/>
      <c r="N57" s="2"/>
      <c r="O57" s="2"/>
      <c r="P57" s="2"/>
      <c r="Q57" s="2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</row>
    <row r="58" spans="1:7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2"/>
      <c r="N58" s="2"/>
      <c r="O58" s="2"/>
      <c r="P58" s="2"/>
      <c r="Q58" s="2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</row>
    <row r="59" spans="1:7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2"/>
      <c r="N59" s="2"/>
      <c r="O59" s="2"/>
      <c r="P59" s="2"/>
      <c r="Q59" s="2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</row>
    <row r="60" spans="1:7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2"/>
      <c r="N60" s="2"/>
      <c r="O60" s="2"/>
      <c r="P60" s="2"/>
      <c r="Q60" s="2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</row>
    <row r="61" spans="1:7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2"/>
      <c r="N61" s="2"/>
      <c r="O61" s="2"/>
      <c r="P61" s="2"/>
      <c r="Q61" s="2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</row>
    <row r="62" spans="1:7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2"/>
      <c r="N62" s="2"/>
      <c r="O62" s="2"/>
      <c r="P62" s="2"/>
      <c r="Q62" s="2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</row>
    <row r="63" spans="1:7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2"/>
      <c r="N63" s="2"/>
      <c r="O63" s="2"/>
      <c r="P63" s="2"/>
      <c r="Q63" s="2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</row>
    <row r="64" spans="1:7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2"/>
      <c r="N64" s="2"/>
      <c r="O64" s="2"/>
      <c r="P64" s="2"/>
      <c r="Q64" s="2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</row>
    <row r="65" spans="1:7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2"/>
      <c r="N65" s="2"/>
      <c r="O65" s="2"/>
      <c r="P65" s="2"/>
      <c r="Q65" s="2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</row>
    <row r="66" spans="1:7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2"/>
      <c r="N66" s="2"/>
      <c r="O66" s="2"/>
      <c r="P66" s="2"/>
      <c r="Q66" s="2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</row>
    <row r="67" spans="1:7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2"/>
      <c r="N67" s="2"/>
      <c r="O67" s="2"/>
      <c r="P67" s="2"/>
      <c r="Q67" s="2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</row>
    <row r="68" spans="1:7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2"/>
      <c r="N68" s="2"/>
      <c r="O68" s="2"/>
      <c r="P68" s="2"/>
      <c r="Q68" s="2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</row>
    <row r="69" spans="1:7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2"/>
      <c r="N69" s="2"/>
      <c r="O69" s="2"/>
      <c r="P69" s="2"/>
      <c r="Q69" s="2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</row>
    <row r="70" spans="1:7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2"/>
      <c r="N70" s="2"/>
      <c r="O70" s="2"/>
      <c r="P70" s="2"/>
      <c r="Q70" s="2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</row>
    <row r="71" spans="1: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2"/>
      <c r="N71" s="2"/>
      <c r="O71" s="2"/>
      <c r="P71" s="2"/>
      <c r="Q71" s="2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</row>
    <row r="72" spans="1:7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2"/>
      <c r="N72" s="2"/>
      <c r="O72" s="2"/>
      <c r="P72" s="2"/>
      <c r="Q72" s="2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</row>
    <row r="73" spans="1:7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2"/>
      <c r="N73" s="2"/>
      <c r="O73" s="2"/>
      <c r="P73" s="2"/>
      <c r="Q73" s="2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</row>
    <row r="74" spans="1:7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2"/>
      <c r="N74" s="2"/>
      <c r="O74" s="2"/>
      <c r="P74" s="2"/>
      <c r="Q74" s="2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</row>
    <row r="75" spans="1:7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2"/>
      <c r="N75" s="2"/>
      <c r="O75" s="2"/>
      <c r="P75" s="2"/>
      <c r="Q75" s="2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</row>
    <row r="76" spans="1:7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2"/>
      <c r="N76" s="2"/>
      <c r="O76" s="2"/>
      <c r="P76" s="2"/>
      <c r="Q76" s="2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</row>
    <row r="77" spans="1:7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"/>
      <c r="N77" s="2"/>
      <c r="O77" s="2"/>
      <c r="P77" s="2"/>
      <c r="Q77" s="2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</row>
    <row r="78" spans="1:7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2"/>
      <c r="N78" s="2"/>
      <c r="O78" s="2"/>
      <c r="P78" s="2"/>
      <c r="Q78" s="2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</row>
    <row r="79" spans="1:7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2"/>
      <c r="N79" s="2"/>
      <c r="O79" s="2"/>
      <c r="P79" s="2"/>
      <c r="Q79" s="2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</row>
    <row r="80" spans="1:7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2"/>
      <c r="N80" s="2"/>
      <c r="O80" s="2"/>
      <c r="P80" s="2"/>
      <c r="Q80" s="2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</row>
    <row r="81" spans="1:7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2"/>
      <c r="N81" s="2"/>
      <c r="O81" s="2"/>
      <c r="P81" s="2"/>
      <c r="Q81" s="2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</row>
    <row r="82" spans="1:7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"/>
      <c r="N82" s="2"/>
      <c r="O82" s="2"/>
      <c r="P82" s="2"/>
      <c r="Q82" s="2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</row>
    <row r="83" spans="1:7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2"/>
      <c r="N83" s="2"/>
      <c r="O83" s="2"/>
      <c r="P83" s="2"/>
      <c r="Q83" s="2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</row>
    <row r="84" spans="1:7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2"/>
      <c r="N84" s="2"/>
      <c r="O84" s="2"/>
      <c r="P84" s="2"/>
      <c r="Q84" s="2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</row>
    <row r="85" spans="1:7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2"/>
      <c r="N85" s="2"/>
      <c r="O85" s="2"/>
      <c r="P85" s="2"/>
      <c r="Q85" s="2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</row>
    <row r="86" spans="1:7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2"/>
      <c r="N86" s="2"/>
      <c r="O86" s="2"/>
      <c r="P86" s="2"/>
      <c r="Q86" s="2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</row>
    <row r="87" spans="1:7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2"/>
      <c r="N87" s="2"/>
      <c r="O87" s="2"/>
      <c r="P87" s="2"/>
      <c r="Q87" s="2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</row>
    <row r="88" spans="1:7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2"/>
      <c r="N88" s="2"/>
      <c r="O88" s="2"/>
      <c r="P88" s="2"/>
      <c r="Q88" s="2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</row>
    <row r="89" spans="1:7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"/>
      <c r="N89" s="2"/>
      <c r="O89" s="2"/>
      <c r="P89" s="2"/>
      <c r="Q89" s="2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</row>
    <row r="90" spans="1:7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"/>
      <c r="N90" s="2"/>
      <c r="O90" s="2"/>
      <c r="P90" s="2"/>
      <c r="Q90" s="2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</row>
    <row r="91" spans="1:7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"/>
      <c r="N91" s="2"/>
      <c r="O91" s="2"/>
      <c r="P91" s="2"/>
      <c r="Q91" s="2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</row>
    <row r="92" spans="1:7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"/>
      <c r="N92" s="2"/>
      <c r="O92" s="2"/>
      <c r="P92" s="2"/>
      <c r="Q92" s="2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</row>
    <row r="93" spans="1:7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"/>
      <c r="N93" s="2"/>
      <c r="O93" s="2"/>
      <c r="P93" s="2"/>
      <c r="Q93" s="2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</row>
    <row r="94" spans="1:7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"/>
      <c r="N94" s="2"/>
      <c r="O94" s="2"/>
      <c r="P94" s="2"/>
      <c r="Q94" s="2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</row>
    <row r="95" spans="1:7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"/>
      <c r="N95" s="2"/>
      <c r="O95" s="2"/>
      <c r="P95" s="2"/>
      <c r="Q95" s="2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</row>
    <row r="96" spans="1:7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"/>
      <c r="N96" s="2"/>
      <c r="O96" s="2"/>
      <c r="P96" s="2"/>
      <c r="Q96" s="2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</row>
    <row r="97" spans="1:7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"/>
      <c r="N97" s="2"/>
      <c r="O97" s="2"/>
      <c r="P97" s="2"/>
      <c r="Q97" s="2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</row>
    <row r="98" spans="1:7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2"/>
      <c r="N98" s="2"/>
      <c r="O98" s="2"/>
      <c r="P98" s="2"/>
      <c r="Q98" s="2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</row>
  </sheetData>
  <mergeCells count="8">
    <mergeCell ref="C11:F11"/>
    <mergeCell ref="C12:F12"/>
    <mergeCell ref="C6:F6"/>
    <mergeCell ref="C7:F7"/>
    <mergeCell ref="AP7:AT8"/>
    <mergeCell ref="C8:F8"/>
    <mergeCell ref="C9:F9"/>
    <mergeCell ref="C10:F10"/>
  </mergeCells>
  <printOptions horizontalCentered="1" gridLines="1"/>
  <pageMargins left="0.17" right="0.16" top="0.42" bottom="0.17" header="0.17" footer="0.17"/>
  <pageSetup scale="42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1:M71"/>
  <sheetViews>
    <sheetView workbookViewId="0">
      <selection activeCell="D29" sqref="D29"/>
    </sheetView>
  </sheetViews>
  <sheetFormatPr defaultColWidth="8.7109375" defaultRowHeight="10.5"/>
  <cols>
    <col min="1" max="2" width="8.7109375" style="43"/>
    <col min="3" max="3" width="4.42578125" style="43" customWidth="1"/>
    <col min="4" max="4" width="13.7109375" style="43" customWidth="1"/>
    <col min="5" max="5" width="6.5703125" style="43" hidden="1" customWidth="1"/>
    <col min="6" max="6" width="6.140625" style="43" customWidth="1"/>
    <col min="7" max="7" width="4.42578125" style="43" customWidth="1"/>
    <col min="8" max="8" width="6.140625" style="43" customWidth="1"/>
    <col min="9" max="9" width="5" style="43" hidden="1" customWidth="1"/>
    <col min="10" max="10" width="4.42578125" style="43" customWidth="1"/>
    <col min="11" max="11" width="9.42578125" style="43" customWidth="1"/>
    <col min="12" max="16384" width="8.7109375" style="43"/>
  </cols>
  <sheetData>
    <row r="1" spans="3:13">
      <c r="J1" s="94"/>
      <c r="K1" s="94"/>
    </row>
    <row r="2" spans="3:13">
      <c r="M2" s="94"/>
    </row>
    <row r="3" spans="3:13">
      <c r="J3" s="94"/>
      <c r="K3" s="94"/>
    </row>
    <row r="4" spans="3:13">
      <c r="M4" s="94"/>
    </row>
    <row r="5" spans="3:13">
      <c r="J5" s="94"/>
      <c r="K5" s="95"/>
    </row>
    <row r="6" spans="3:13">
      <c r="M6" s="95"/>
    </row>
    <row r="7" spans="3:13">
      <c r="M7" s="95"/>
    </row>
    <row r="8" spans="3:13">
      <c r="M8" s="95"/>
    </row>
    <row r="9" spans="3:13">
      <c r="C9" s="43" t="s">
        <v>169</v>
      </c>
      <c r="K9" s="94" t="s">
        <v>19</v>
      </c>
      <c r="M9" s="95"/>
    </row>
    <row r="10" spans="3:13">
      <c r="C10" s="43" t="s">
        <v>170</v>
      </c>
      <c r="K10" s="94" t="s">
        <v>171</v>
      </c>
      <c r="M10" s="95"/>
    </row>
    <row r="12" spans="3:13" ht="11.25" thickBot="1"/>
    <row r="13" spans="3:13">
      <c r="D13" s="96" t="s">
        <v>42</v>
      </c>
      <c r="F13" s="97" t="str">
        <f>'Controller B(2)'!G6</f>
        <v>Amazon</v>
      </c>
      <c r="G13" s="98"/>
      <c r="H13" s="98"/>
      <c r="I13" s="98"/>
      <c r="J13" s="98"/>
      <c r="K13" s="99"/>
    </row>
    <row r="14" spans="3:13">
      <c r="D14" s="100" t="s">
        <v>4</v>
      </c>
      <c r="F14" s="101">
        <f>'Controller B(2)'!G9</f>
        <v>0</v>
      </c>
      <c r="G14" s="102"/>
      <c r="H14" s="102"/>
      <c r="I14" s="102"/>
      <c r="J14" s="102"/>
      <c r="K14" s="103"/>
    </row>
    <row r="15" spans="3:13" ht="11.25" thickBot="1">
      <c r="D15" s="104" t="s">
        <v>172</v>
      </c>
      <c r="F15" s="105">
        <f>'Controller B(2)'!G10</f>
        <v>0</v>
      </c>
      <c r="G15" s="106"/>
      <c r="H15" s="106"/>
      <c r="I15" s="106"/>
      <c r="J15" s="106"/>
      <c r="K15" s="107"/>
    </row>
    <row r="18" spans="3:11">
      <c r="C18" s="108" t="s">
        <v>173</v>
      </c>
    </row>
    <row r="20" spans="3:11" ht="11.25" thickBot="1">
      <c r="C20" s="109" t="s">
        <v>174</v>
      </c>
      <c r="D20" s="109" t="s">
        <v>175</v>
      </c>
      <c r="E20" s="43" t="s">
        <v>176</v>
      </c>
      <c r="F20" s="109"/>
      <c r="G20" s="110" t="s">
        <v>177</v>
      </c>
      <c r="I20" s="109"/>
    </row>
    <row r="21" spans="3:11">
      <c r="C21" s="111">
        <f>'Controller B(2)'!R40</f>
        <v>0</v>
      </c>
      <c r="D21" s="112" t="s">
        <v>178</v>
      </c>
      <c r="E21" s="113">
        <v>2</v>
      </c>
      <c r="F21" s="114">
        <f t="shared" ref="F21:F44" si="0">C21*E21</f>
        <v>0</v>
      </c>
      <c r="G21" s="115" t="s">
        <v>179</v>
      </c>
      <c r="H21" s="116">
        <f>SUM(80/I21)*C21</f>
        <v>0</v>
      </c>
      <c r="I21" s="114">
        <v>30</v>
      </c>
      <c r="J21" s="117" t="s">
        <v>180</v>
      </c>
      <c r="K21" s="118">
        <f t="shared" ref="K21:K46" si="1">F21+H21</f>
        <v>0</v>
      </c>
    </row>
    <row r="22" spans="3:11">
      <c r="C22" s="119">
        <v>29</v>
      </c>
      <c r="D22" s="120" t="s">
        <v>181</v>
      </c>
      <c r="E22" s="121">
        <v>4.25</v>
      </c>
      <c r="F22" s="122">
        <f t="shared" si="0"/>
        <v>123.25</v>
      </c>
      <c r="G22" s="123" t="s">
        <v>179</v>
      </c>
      <c r="H22" s="124">
        <f>SUM(80/I22)*C22</f>
        <v>77.333333333333329</v>
      </c>
      <c r="I22" s="122">
        <v>30</v>
      </c>
      <c r="J22" s="125"/>
      <c r="K22" s="126">
        <f t="shared" si="1"/>
        <v>200.58333333333331</v>
      </c>
    </row>
    <row r="23" spans="3:11">
      <c r="C23" s="119">
        <f>'Controller B(2)'!T40</f>
        <v>0</v>
      </c>
      <c r="D23" s="120" t="s">
        <v>182</v>
      </c>
      <c r="E23" s="121">
        <v>10</v>
      </c>
      <c r="F23" s="122">
        <f t="shared" si="0"/>
        <v>0</v>
      </c>
      <c r="G23" s="123" t="s">
        <v>179</v>
      </c>
      <c r="H23" s="124">
        <f>SUM(80/I23)*C23</f>
        <v>0</v>
      </c>
      <c r="I23" s="122">
        <v>12</v>
      </c>
      <c r="J23" s="125" t="s">
        <v>180</v>
      </c>
      <c r="K23" s="126">
        <f t="shared" si="1"/>
        <v>0</v>
      </c>
    </row>
    <row r="24" spans="3:11">
      <c r="C24" s="119">
        <v>29</v>
      </c>
      <c r="D24" s="120" t="s">
        <v>183</v>
      </c>
      <c r="E24" s="121">
        <v>4</v>
      </c>
      <c r="F24" s="122">
        <f t="shared" si="0"/>
        <v>116</v>
      </c>
      <c r="G24" s="123" t="s">
        <v>179</v>
      </c>
      <c r="H24" s="124">
        <f>SUM(80/I24)*C24</f>
        <v>331.42857142857144</v>
      </c>
      <c r="I24" s="122">
        <v>7</v>
      </c>
      <c r="J24" s="125" t="s">
        <v>180</v>
      </c>
      <c r="K24" s="126">
        <f t="shared" si="1"/>
        <v>447.42857142857144</v>
      </c>
    </row>
    <row r="25" spans="3:11">
      <c r="C25" s="119">
        <f>'Controller B(2)'!V40</f>
        <v>0</v>
      </c>
      <c r="D25" s="120" t="s">
        <v>184</v>
      </c>
      <c r="E25" s="121">
        <v>8</v>
      </c>
      <c r="F25" s="122">
        <f t="shared" si="0"/>
        <v>0</v>
      </c>
      <c r="G25" s="123" t="s">
        <v>179</v>
      </c>
      <c r="H25" s="124">
        <f>SUM(80/I24)*C25</f>
        <v>0</v>
      </c>
      <c r="I25" s="122">
        <v>7</v>
      </c>
      <c r="J25" s="125" t="s">
        <v>180</v>
      </c>
      <c r="K25" s="126">
        <f t="shared" si="1"/>
        <v>0</v>
      </c>
    </row>
    <row r="26" spans="3:11">
      <c r="C26" s="119">
        <f>'Controller B(2)'!W40</f>
        <v>0</v>
      </c>
      <c r="D26" s="120" t="s">
        <v>185</v>
      </c>
      <c r="E26" s="121">
        <v>7</v>
      </c>
      <c r="F26" s="122">
        <f t="shared" si="0"/>
        <v>0</v>
      </c>
      <c r="G26" s="123" t="s">
        <v>179</v>
      </c>
      <c r="H26" s="124">
        <f>SUM(80/I26)*C26</f>
        <v>0</v>
      </c>
      <c r="I26" s="122">
        <v>6</v>
      </c>
      <c r="J26" s="125" t="s">
        <v>180</v>
      </c>
      <c r="K26" s="126">
        <f t="shared" si="1"/>
        <v>0</v>
      </c>
    </row>
    <row r="27" spans="3:11">
      <c r="C27" s="119">
        <f>'Controller B(2)'!X40</f>
        <v>0</v>
      </c>
      <c r="D27" s="120" t="s">
        <v>186</v>
      </c>
      <c r="E27" s="121">
        <v>15</v>
      </c>
      <c r="F27" s="122">
        <f t="shared" si="0"/>
        <v>0</v>
      </c>
      <c r="G27" s="123" t="s">
        <v>179</v>
      </c>
      <c r="H27" s="124">
        <f>SUM(80/I27)*C27</f>
        <v>0</v>
      </c>
      <c r="I27" s="122">
        <v>3</v>
      </c>
      <c r="J27" s="125" t="s">
        <v>180</v>
      </c>
      <c r="K27" s="126">
        <f t="shared" si="1"/>
        <v>0</v>
      </c>
    </row>
    <row r="28" spans="3:11">
      <c r="C28" s="119">
        <v>118</v>
      </c>
      <c r="D28" s="120" t="s">
        <v>94</v>
      </c>
      <c r="E28" s="121">
        <v>3.5</v>
      </c>
      <c r="F28" s="122">
        <f t="shared" si="0"/>
        <v>413</v>
      </c>
      <c r="G28" s="123" t="s">
        <v>179</v>
      </c>
      <c r="H28" s="124">
        <f>SUM(80/I28)*C28</f>
        <v>1348.5714285714287</v>
      </c>
      <c r="I28" s="122">
        <v>7</v>
      </c>
      <c r="J28" s="125" t="s">
        <v>180</v>
      </c>
      <c r="K28" s="126">
        <f t="shared" si="1"/>
        <v>1761.5714285714287</v>
      </c>
    </row>
    <row r="29" spans="3:11">
      <c r="C29" s="119">
        <v>16</v>
      </c>
      <c r="D29" s="120" t="s">
        <v>187</v>
      </c>
      <c r="E29" s="121">
        <v>20</v>
      </c>
      <c r="F29" s="122">
        <f t="shared" si="0"/>
        <v>320</v>
      </c>
      <c r="G29" s="123" t="s">
        <v>179</v>
      </c>
      <c r="H29" s="124">
        <f>SUM(80/I29)*C29</f>
        <v>320</v>
      </c>
      <c r="I29" s="122">
        <v>4</v>
      </c>
      <c r="J29" s="125" t="s">
        <v>180</v>
      </c>
      <c r="K29" s="126">
        <f t="shared" si="1"/>
        <v>640</v>
      </c>
    </row>
    <row r="30" spans="3:11">
      <c r="C30" s="119">
        <v>16</v>
      </c>
      <c r="D30" s="120" t="s">
        <v>96</v>
      </c>
      <c r="E30" s="121">
        <v>5.25</v>
      </c>
      <c r="F30" s="122">
        <f t="shared" si="0"/>
        <v>84</v>
      </c>
      <c r="G30" s="123" t="s">
        <v>179</v>
      </c>
      <c r="H30" s="127">
        <f>SUM(15*I30)*C30</f>
        <v>79.2</v>
      </c>
      <c r="I30" s="122">
        <v>0.33</v>
      </c>
      <c r="J30" s="128" t="s">
        <v>180</v>
      </c>
      <c r="K30" s="126">
        <f t="shared" si="1"/>
        <v>163.19999999999999</v>
      </c>
    </row>
    <row r="31" spans="3:11">
      <c r="C31" s="119">
        <v>5</v>
      </c>
      <c r="D31" s="120" t="s">
        <v>188</v>
      </c>
      <c r="E31" s="121">
        <v>34.5</v>
      </c>
      <c r="F31" s="122">
        <f t="shared" si="0"/>
        <v>172.5</v>
      </c>
      <c r="G31" s="123" t="s">
        <v>179</v>
      </c>
      <c r="H31" s="127">
        <f>SUM(80/I31)*C31</f>
        <v>200</v>
      </c>
      <c r="I31" s="122">
        <v>2</v>
      </c>
      <c r="J31" s="128" t="s">
        <v>180</v>
      </c>
      <c r="K31" s="126">
        <f t="shared" si="1"/>
        <v>372.5</v>
      </c>
    </row>
    <row r="32" spans="3:11">
      <c r="C32" s="119">
        <v>15</v>
      </c>
      <c r="D32" s="120" t="s">
        <v>189</v>
      </c>
      <c r="E32" s="121">
        <v>50</v>
      </c>
      <c r="F32" s="122">
        <f t="shared" si="0"/>
        <v>750</v>
      </c>
      <c r="G32" s="123" t="s">
        <v>179</v>
      </c>
      <c r="H32" s="127">
        <f t="shared" ref="H32:H46" si="2">SUM(80/I32)*C32</f>
        <v>1200</v>
      </c>
      <c r="I32" s="122">
        <v>1</v>
      </c>
      <c r="J32" s="128"/>
      <c r="K32" s="126">
        <f t="shared" si="1"/>
        <v>1950</v>
      </c>
    </row>
    <row r="33" spans="3:11">
      <c r="C33" s="119">
        <v>8</v>
      </c>
      <c r="D33" s="120" t="s">
        <v>99</v>
      </c>
      <c r="E33" s="121">
        <v>135</v>
      </c>
      <c r="F33" s="122">
        <f t="shared" si="0"/>
        <v>1080</v>
      </c>
      <c r="G33" s="123" t="s">
        <v>179</v>
      </c>
      <c r="H33" s="127">
        <f t="shared" si="2"/>
        <v>1280</v>
      </c>
      <c r="I33" s="122">
        <v>0.5</v>
      </c>
      <c r="J33" s="128" t="s">
        <v>180</v>
      </c>
      <c r="K33" s="126">
        <f t="shared" si="1"/>
        <v>2360</v>
      </c>
    </row>
    <row r="34" spans="3:11" ht="11.25">
      <c r="C34" s="119">
        <f>'Controller B(2)'!AE40</f>
        <v>6</v>
      </c>
      <c r="D34" s="120" t="s">
        <v>190</v>
      </c>
      <c r="E34" s="121">
        <v>115</v>
      </c>
      <c r="F34" s="122">
        <f t="shared" si="0"/>
        <v>690</v>
      </c>
      <c r="G34" s="123" t="s">
        <v>179</v>
      </c>
      <c r="H34" s="127">
        <f t="shared" si="2"/>
        <v>480</v>
      </c>
      <c r="I34" s="122">
        <v>1</v>
      </c>
      <c r="J34" s="128" t="s">
        <v>180</v>
      </c>
      <c r="K34" s="126">
        <f t="shared" si="1"/>
        <v>1170</v>
      </c>
    </row>
    <row r="35" spans="3:11">
      <c r="C35" s="119">
        <f>'Controller B(2)'!AF40</f>
        <v>0</v>
      </c>
      <c r="D35" s="120" t="s">
        <v>101</v>
      </c>
      <c r="E35" s="121">
        <v>75</v>
      </c>
      <c r="F35" s="122">
        <f t="shared" si="0"/>
        <v>0</v>
      </c>
      <c r="G35" s="123" t="s">
        <v>179</v>
      </c>
      <c r="H35" s="127">
        <f t="shared" si="2"/>
        <v>0</v>
      </c>
      <c r="I35" s="122">
        <v>2</v>
      </c>
      <c r="J35" s="128" t="s">
        <v>180</v>
      </c>
      <c r="K35" s="126">
        <f t="shared" si="1"/>
        <v>0</v>
      </c>
    </row>
    <row r="36" spans="3:11">
      <c r="C36" s="119">
        <f>'Controller B(2)'!AG40</f>
        <v>0</v>
      </c>
      <c r="D36" s="120" t="s">
        <v>102</v>
      </c>
      <c r="E36" s="121">
        <v>138</v>
      </c>
      <c r="F36" s="122">
        <f t="shared" si="0"/>
        <v>0</v>
      </c>
      <c r="G36" s="123" t="s">
        <v>179</v>
      </c>
      <c r="H36" s="127">
        <f t="shared" si="2"/>
        <v>0</v>
      </c>
      <c r="I36" s="122">
        <v>1</v>
      </c>
      <c r="J36" s="128" t="s">
        <v>180</v>
      </c>
      <c r="K36" s="126">
        <f t="shared" si="1"/>
        <v>0</v>
      </c>
    </row>
    <row r="37" spans="3:11">
      <c r="C37" s="119">
        <f>'Controller B(2)'!AH40</f>
        <v>0</v>
      </c>
      <c r="D37" s="120" t="s">
        <v>103</v>
      </c>
      <c r="E37" s="121">
        <v>30</v>
      </c>
      <c r="F37" s="122">
        <f t="shared" si="0"/>
        <v>0</v>
      </c>
      <c r="G37" s="123" t="s">
        <v>179</v>
      </c>
      <c r="H37" s="127">
        <f t="shared" si="2"/>
        <v>0</v>
      </c>
      <c r="I37" s="122">
        <v>2</v>
      </c>
      <c r="J37" s="128" t="s">
        <v>180</v>
      </c>
      <c r="K37" s="126">
        <f t="shared" si="1"/>
        <v>0</v>
      </c>
    </row>
    <row r="38" spans="3:11">
      <c r="C38" s="119">
        <f>'Controller B(2)'!AI40</f>
        <v>0</v>
      </c>
      <c r="D38" s="120" t="s">
        <v>104</v>
      </c>
      <c r="E38" s="121">
        <v>30</v>
      </c>
      <c r="F38" s="122">
        <f t="shared" si="0"/>
        <v>0</v>
      </c>
      <c r="G38" s="123" t="s">
        <v>179</v>
      </c>
      <c r="H38" s="127">
        <f t="shared" si="2"/>
        <v>0</v>
      </c>
      <c r="I38" s="122">
        <v>2</v>
      </c>
      <c r="J38" s="128" t="s">
        <v>180</v>
      </c>
      <c r="K38" s="126">
        <f t="shared" si="1"/>
        <v>0</v>
      </c>
    </row>
    <row r="39" spans="3:11">
      <c r="C39" s="119">
        <f>'Controller B(2)'!AJ40</f>
        <v>0</v>
      </c>
      <c r="D39" s="120" t="s">
        <v>105</v>
      </c>
      <c r="E39" s="121">
        <v>246</v>
      </c>
      <c r="F39" s="122">
        <f t="shared" si="0"/>
        <v>0</v>
      </c>
      <c r="G39" s="128" t="s">
        <v>179</v>
      </c>
      <c r="H39" s="127">
        <f t="shared" si="2"/>
        <v>0</v>
      </c>
      <c r="I39" s="122">
        <v>0.5</v>
      </c>
      <c r="J39" s="128" t="s">
        <v>180</v>
      </c>
      <c r="K39" s="126">
        <f t="shared" si="1"/>
        <v>0</v>
      </c>
    </row>
    <row r="40" spans="3:11">
      <c r="C40" s="119">
        <f>'Controller B(2)'!AK40</f>
        <v>0</v>
      </c>
      <c r="D40" s="120" t="s">
        <v>106</v>
      </c>
      <c r="E40" s="121">
        <v>11.5</v>
      </c>
      <c r="F40" s="122">
        <f t="shared" si="0"/>
        <v>0</v>
      </c>
      <c r="G40" s="128" t="s">
        <v>179</v>
      </c>
      <c r="H40" s="127">
        <f t="shared" si="2"/>
        <v>0</v>
      </c>
      <c r="I40" s="122">
        <v>30</v>
      </c>
      <c r="J40" s="128" t="s">
        <v>180</v>
      </c>
      <c r="K40" s="126">
        <f t="shared" si="1"/>
        <v>0</v>
      </c>
    </row>
    <row r="41" spans="3:11">
      <c r="C41" s="119">
        <f>'Controller B(2)'!AL40</f>
        <v>0</v>
      </c>
      <c r="D41" s="120" t="s">
        <v>107</v>
      </c>
      <c r="E41" s="121">
        <v>20</v>
      </c>
      <c r="F41" s="122">
        <f t="shared" si="0"/>
        <v>0</v>
      </c>
      <c r="G41" s="128" t="s">
        <v>179</v>
      </c>
      <c r="H41" s="127">
        <f t="shared" si="2"/>
        <v>0</v>
      </c>
      <c r="I41" s="122">
        <v>30</v>
      </c>
      <c r="J41" s="128" t="s">
        <v>180</v>
      </c>
      <c r="K41" s="126">
        <f t="shared" si="1"/>
        <v>0</v>
      </c>
    </row>
    <row r="42" spans="3:11">
      <c r="C42" s="119">
        <f>'Controller B(2)'!AM40</f>
        <v>0</v>
      </c>
      <c r="D42" s="120" t="s">
        <v>108</v>
      </c>
      <c r="E42" s="121">
        <v>7.5</v>
      </c>
      <c r="F42" s="122">
        <f t="shared" si="0"/>
        <v>0</v>
      </c>
      <c r="G42" s="128" t="s">
        <v>179</v>
      </c>
      <c r="H42" s="127">
        <f t="shared" si="2"/>
        <v>0</v>
      </c>
      <c r="I42" s="122">
        <v>30</v>
      </c>
      <c r="J42" s="128" t="s">
        <v>180</v>
      </c>
      <c r="K42" s="126">
        <f t="shared" si="1"/>
        <v>0</v>
      </c>
    </row>
    <row r="43" spans="3:11">
      <c r="C43" s="119">
        <f>'Controller B(2)'!AN40</f>
        <v>0</v>
      </c>
      <c r="D43" s="120" t="s">
        <v>109</v>
      </c>
      <c r="E43" s="121">
        <v>10</v>
      </c>
      <c r="F43" s="122">
        <f t="shared" si="0"/>
        <v>0</v>
      </c>
      <c r="G43" s="128" t="s">
        <v>179</v>
      </c>
      <c r="H43" s="127">
        <f t="shared" si="2"/>
        <v>0</v>
      </c>
      <c r="I43" s="122">
        <v>30</v>
      </c>
      <c r="J43" s="128" t="s">
        <v>180</v>
      </c>
      <c r="K43" s="126">
        <f t="shared" si="1"/>
        <v>0</v>
      </c>
    </row>
    <row r="44" spans="3:11">
      <c r="C44" s="119">
        <v>107</v>
      </c>
      <c r="D44" s="120" t="s">
        <v>110</v>
      </c>
      <c r="E44" s="121">
        <v>5.75</v>
      </c>
      <c r="F44" s="122">
        <f t="shared" si="0"/>
        <v>615.25</v>
      </c>
      <c r="G44" s="128" t="s">
        <v>179</v>
      </c>
      <c r="H44" s="127">
        <f t="shared" si="2"/>
        <v>1426.6666666666667</v>
      </c>
      <c r="I44" s="122">
        <v>6</v>
      </c>
      <c r="J44" s="128" t="s">
        <v>180</v>
      </c>
      <c r="K44" s="126">
        <f t="shared" si="1"/>
        <v>2041.9166666666667</v>
      </c>
    </row>
    <row r="45" spans="3:11">
      <c r="C45" s="119">
        <v>20</v>
      </c>
      <c r="D45" s="120" t="s">
        <v>191</v>
      </c>
      <c r="E45" s="121">
        <v>115</v>
      </c>
      <c r="F45" s="122">
        <f>C45*E45</f>
        <v>2300</v>
      </c>
      <c r="G45" s="128" t="s">
        <v>179</v>
      </c>
      <c r="H45" s="127">
        <f>SUM(80*I45)*C45</f>
        <v>800</v>
      </c>
      <c r="I45" s="122">
        <v>0.5</v>
      </c>
      <c r="J45" s="128" t="s">
        <v>180</v>
      </c>
      <c r="K45" s="126">
        <f t="shared" si="1"/>
        <v>3100</v>
      </c>
    </row>
    <row r="46" spans="3:11" ht="11.25" thickBot="1">
      <c r="C46" s="129">
        <v>1</v>
      </c>
      <c r="D46" s="130" t="s">
        <v>192</v>
      </c>
      <c r="E46" s="131">
        <v>125</v>
      </c>
      <c r="F46" s="132">
        <f>C46*E46</f>
        <v>125</v>
      </c>
      <c r="G46" s="133" t="s">
        <v>179</v>
      </c>
      <c r="H46" s="134">
        <f t="shared" si="2"/>
        <v>80</v>
      </c>
      <c r="I46" s="132">
        <v>1</v>
      </c>
      <c r="J46" s="133" t="s">
        <v>180</v>
      </c>
      <c r="K46" s="135">
        <f t="shared" si="1"/>
        <v>205</v>
      </c>
    </row>
    <row r="47" spans="3:11" ht="11.25" thickBot="1">
      <c r="C47" s="108"/>
      <c r="D47" s="108"/>
      <c r="F47" s="136"/>
      <c r="G47" s="137"/>
      <c r="I47" s="94"/>
      <c r="J47" s="138" t="s">
        <v>193</v>
      </c>
      <c r="K47" s="139">
        <f>SUM(K21:K46)</f>
        <v>14412.199999999999</v>
      </c>
    </row>
    <row r="49" spans="3:11">
      <c r="C49" s="108" t="s">
        <v>194</v>
      </c>
    </row>
    <row r="51" spans="3:11" ht="11.25" thickBot="1">
      <c r="C51" s="109" t="s">
        <v>174</v>
      </c>
      <c r="D51" s="109" t="s">
        <v>175</v>
      </c>
      <c r="F51" s="109"/>
      <c r="G51" s="110" t="s">
        <v>177</v>
      </c>
      <c r="I51" s="109"/>
    </row>
    <row r="52" spans="3:11">
      <c r="C52" s="111">
        <f>'Controller B(2)'!AR40</f>
        <v>0</v>
      </c>
      <c r="D52" s="112" t="s">
        <v>178</v>
      </c>
      <c r="E52" s="113">
        <v>2</v>
      </c>
      <c r="F52" s="114">
        <f t="shared" ref="F52:F67" si="3">C52*E52</f>
        <v>0</v>
      </c>
      <c r="G52" s="115" t="s">
        <v>179</v>
      </c>
      <c r="H52" s="116">
        <f>SUM(80/I52)*C52</f>
        <v>0</v>
      </c>
      <c r="I52" s="114">
        <v>30</v>
      </c>
      <c r="J52" s="117" t="s">
        <v>180</v>
      </c>
      <c r="K52" s="118">
        <f t="shared" ref="K52:K67" si="4">F52+H52</f>
        <v>0</v>
      </c>
    </row>
    <row r="53" spans="3:11">
      <c r="C53" s="119">
        <f>'Controller B(2)'!AS40</f>
        <v>0</v>
      </c>
      <c r="D53" s="120" t="s">
        <v>181</v>
      </c>
      <c r="E53" s="121">
        <v>4.25</v>
      </c>
      <c r="F53" s="122">
        <f t="shared" si="3"/>
        <v>0</v>
      </c>
      <c r="G53" s="123" t="s">
        <v>179</v>
      </c>
      <c r="H53" s="124">
        <f>SUM(80/I53)*C53</f>
        <v>0</v>
      </c>
      <c r="I53" s="122">
        <v>30</v>
      </c>
      <c r="J53" s="125"/>
      <c r="K53" s="126">
        <f t="shared" si="4"/>
        <v>0</v>
      </c>
    </row>
    <row r="54" spans="3:11">
      <c r="C54" s="119">
        <f>'Controller B(2)'!AT40</f>
        <v>0</v>
      </c>
      <c r="D54" s="120" t="s">
        <v>182</v>
      </c>
      <c r="E54" s="121">
        <v>10</v>
      </c>
      <c r="F54" s="122">
        <f t="shared" si="3"/>
        <v>0</v>
      </c>
      <c r="G54" s="123" t="s">
        <v>179</v>
      </c>
      <c r="H54" s="124">
        <f>SUM(80/I54)*C54</f>
        <v>0</v>
      </c>
      <c r="I54" s="122">
        <v>12</v>
      </c>
      <c r="J54" s="125" t="s">
        <v>180</v>
      </c>
      <c r="K54" s="126">
        <f t="shared" si="4"/>
        <v>0</v>
      </c>
    </row>
    <row r="55" spans="3:11">
      <c r="C55" s="119">
        <f>'Controller B(2)'!AU40</f>
        <v>0</v>
      </c>
      <c r="D55" s="120" t="s">
        <v>183</v>
      </c>
      <c r="E55" s="121">
        <v>4</v>
      </c>
      <c r="F55" s="122">
        <f t="shared" si="3"/>
        <v>0</v>
      </c>
      <c r="G55" s="123" t="s">
        <v>179</v>
      </c>
      <c r="H55" s="124">
        <f>SUM(80/I55)*C55</f>
        <v>0</v>
      </c>
      <c r="I55" s="122">
        <v>7</v>
      </c>
      <c r="J55" s="125" t="s">
        <v>180</v>
      </c>
      <c r="K55" s="126">
        <f t="shared" si="4"/>
        <v>0</v>
      </c>
    </row>
    <row r="56" spans="3:11">
      <c r="C56" s="119">
        <f>'Controller B(2)'!AV40</f>
        <v>0</v>
      </c>
      <c r="D56" s="120" t="s">
        <v>184</v>
      </c>
      <c r="E56" s="121">
        <v>8</v>
      </c>
      <c r="F56" s="122">
        <f t="shared" si="3"/>
        <v>0</v>
      </c>
      <c r="G56" s="123" t="s">
        <v>179</v>
      </c>
      <c r="H56" s="124">
        <f>SUM(80/I55)*C56</f>
        <v>0</v>
      </c>
      <c r="I56" s="122">
        <v>7</v>
      </c>
      <c r="J56" s="125" t="s">
        <v>180</v>
      </c>
      <c r="K56" s="126">
        <f t="shared" si="4"/>
        <v>0</v>
      </c>
    </row>
    <row r="57" spans="3:11">
      <c r="C57" s="119">
        <f>'Controller B(2)'!AW40</f>
        <v>0</v>
      </c>
      <c r="D57" s="120" t="s">
        <v>185</v>
      </c>
      <c r="E57" s="121">
        <v>7</v>
      </c>
      <c r="F57" s="122">
        <f t="shared" si="3"/>
        <v>0</v>
      </c>
      <c r="G57" s="123" t="s">
        <v>179</v>
      </c>
      <c r="H57" s="124">
        <f>SUM(80/I57)*C57</f>
        <v>0</v>
      </c>
      <c r="I57" s="122">
        <v>6</v>
      </c>
      <c r="J57" s="125" t="s">
        <v>180</v>
      </c>
      <c r="K57" s="126">
        <f t="shared" si="4"/>
        <v>0</v>
      </c>
    </row>
    <row r="58" spans="3:11">
      <c r="C58" s="119">
        <f>'Controller B(2)'!AX40</f>
        <v>0</v>
      </c>
      <c r="D58" s="120" t="s">
        <v>186</v>
      </c>
      <c r="E58" s="121">
        <v>15</v>
      </c>
      <c r="F58" s="122">
        <f t="shared" si="3"/>
        <v>0</v>
      </c>
      <c r="G58" s="123" t="s">
        <v>179</v>
      </c>
      <c r="H58" s="124">
        <f>SUM(80/I58)*C58</f>
        <v>0</v>
      </c>
      <c r="I58" s="122">
        <v>3</v>
      </c>
      <c r="J58" s="125" t="s">
        <v>180</v>
      </c>
      <c r="K58" s="126">
        <f t="shared" si="4"/>
        <v>0</v>
      </c>
    </row>
    <row r="59" spans="3:11">
      <c r="C59" s="119">
        <f>'Controller B(2)'!AY40</f>
        <v>0</v>
      </c>
      <c r="D59" s="120" t="s">
        <v>113</v>
      </c>
      <c r="E59" s="121">
        <v>150</v>
      </c>
      <c r="F59" s="122">
        <f>C59*E59</f>
        <v>0</v>
      </c>
      <c r="G59" s="123" t="s">
        <v>179</v>
      </c>
      <c r="H59" s="127">
        <f>SUM(80*I59)*C59</f>
        <v>0</v>
      </c>
      <c r="I59" s="122">
        <v>1</v>
      </c>
      <c r="J59" s="128" t="s">
        <v>180</v>
      </c>
      <c r="K59" s="126">
        <f t="shared" si="4"/>
        <v>0</v>
      </c>
    </row>
    <row r="60" spans="3:11">
      <c r="C60" s="119">
        <f>'Controller B(2)'!AZ40</f>
        <v>0</v>
      </c>
      <c r="D60" s="120" t="s">
        <v>94</v>
      </c>
      <c r="E60" s="121">
        <v>3.5</v>
      </c>
      <c r="F60" s="122">
        <f t="shared" si="3"/>
        <v>0</v>
      </c>
      <c r="G60" s="123" t="s">
        <v>179</v>
      </c>
      <c r="H60" s="124">
        <f t="shared" ref="H60:H67" si="5">SUM(80/I60)*C60</f>
        <v>0</v>
      </c>
      <c r="I60" s="122">
        <v>7</v>
      </c>
      <c r="J60" s="125" t="s">
        <v>180</v>
      </c>
      <c r="K60" s="126">
        <f t="shared" si="4"/>
        <v>0</v>
      </c>
    </row>
    <row r="61" spans="3:11">
      <c r="C61" s="119">
        <f>'Controller B(2)'!BA40</f>
        <v>0</v>
      </c>
      <c r="D61" s="120" t="s">
        <v>187</v>
      </c>
      <c r="E61" s="121">
        <v>20</v>
      </c>
      <c r="F61" s="122">
        <f t="shared" si="3"/>
        <v>0</v>
      </c>
      <c r="G61" s="123" t="s">
        <v>179</v>
      </c>
      <c r="H61" s="124">
        <f t="shared" si="5"/>
        <v>0</v>
      </c>
      <c r="I61" s="122">
        <v>4</v>
      </c>
      <c r="J61" s="125" t="s">
        <v>180</v>
      </c>
      <c r="K61" s="126">
        <f t="shared" si="4"/>
        <v>0</v>
      </c>
    </row>
    <row r="62" spans="3:11">
      <c r="C62" s="119">
        <f>'Controller B(2)'!BB40</f>
        <v>0</v>
      </c>
      <c r="D62" s="120" t="s">
        <v>114</v>
      </c>
      <c r="E62" s="121">
        <v>3.45</v>
      </c>
      <c r="F62" s="122">
        <f t="shared" si="3"/>
        <v>0</v>
      </c>
      <c r="G62" s="140" t="s">
        <v>179</v>
      </c>
      <c r="H62" s="124">
        <f t="shared" si="5"/>
        <v>0</v>
      </c>
      <c r="I62" s="122">
        <v>6</v>
      </c>
      <c r="J62" s="125" t="s">
        <v>180</v>
      </c>
      <c r="K62" s="126">
        <f t="shared" si="4"/>
        <v>0</v>
      </c>
    </row>
    <row r="63" spans="3:11">
      <c r="C63" s="119">
        <f>'Controller B(2)'!BC40</f>
        <v>0</v>
      </c>
      <c r="D63" s="120" t="s">
        <v>115</v>
      </c>
      <c r="E63" s="121">
        <v>8.0500000000000007</v>
      </c>
      <c r="F63" s="122">
        <f t="shared" si="3"/>
        <v>0</v>
      </c>
      <c r="G63" s="123" t="s">
        <v>179</v>
      </c>
      <c r="H63" s="124">
        <f t="shared" si="5"/>
        <v>0</v>
      </c>
      <c r="I63" s="122">
        <v>6</v>
      </c>
      <c r="J63" s="125" t="s">
        <v>180</v>
      </c>
      <c r="K63" s="126">
        <f t="shared" si="4"/>
        <v>0</v>
      </c>
    </row>
    <row r="64" spans="3:11">
      <c r="C64" s="119">
        <f>'Controller B(2)'!BD40</f>
        <v>0</v>
      </c>
      <c r="D64" s="120" t="s">
        <v>116</v>
      </c>
      <c r="E64" s="121">
        <v>11.5</v>
      </c>
      <c r="F64" s="122">
        <f t="shared" si="3"/>
        <v>0</v>
      </c>
      <c r="G64" s="123" t="s">
        <v>179</v>
      </c>
      <c r="H64" s="124">
        <f t="shared" si="5"/>
        <v>0</v>
      </c>
      <c r="I64" s="122">
        <v>3</v>
      </c>
      <c r="J64" s="125" t="s">
        <v>180</v>
      </c>
      <c r="K64" s="126">
        <f t="shared" si="4"/>
        <v>0</v>
      </c>
    </row>
    <row r="65" spans="3:11">
      <c r="C65" s="119">
        <f>'Controller B(2)'!BE40</f>
        <v>0</v>
      </c>
      <c r="D65" s="141" t="s">
        <v>195</v>
      </c>
      <c r="E65" s="142">
        <v>9.92</v>
      </c>
      <c r="F65" s="143">
        <f t="shared" si="3"/>
        <v>0</v>
      </c>
      <c r="G65" s="144" t="s">
        <v>179</v>
      </c>
      <c r="H65" s="145">
        <f t="shared" si="5"/>
        <v>0</v>
      </c>
      <c r="I65" s="143">
        <v>8</v>
      </c>
      <c r="J65" s="146" t="s">
        <v>180</v>
      </c>
      <c r="K65" s="147">
        <f t="shared" si="4"/>
        <v>0</v>
      </c>
    </row>
    <row r="66" spans="3:11">
      <c r="C66" s="119">
        <f>'Controller B(2)'!BF40</f>
        <v>0</v>
      </c>
      <c r="D66" s="141" t="s">
        <v>196</v>
      </c>
      <c r="E66" s="142">
        <v>17.25</v>
      </c>
      <c r="F66" s="143">
        <f t="shared" si="3"/>
        <v>0</v>
      </c>
      <c r="G66" s="144"/>
      <c r="H66" s="145">
        <f t="shared" si="5"/>
        <v>0</v>
      </c>
      <c r="I66" s="143">
        <v>6</v>
      </c>
      <c r="J66" s="146"/>
      <c r="K66" s="147">
        <f t="shared" si="4"/>
        <v>0</v>
      </c>
    </row>
    <row r="67" spans="3:11" ht="11.25" thickBot="1">
      <c r="C67" s="129">
        <f>'Controller B(2)'!BG40</f>
        <v>0</v>
      </c>
      <c r="D67" s="148" t="s">
        <v>119</v>
      </c>
      <c r="E67" s="149">
        <v>5.75</v>
      </c>
      <c r="F67" s="150">
        <f t="shared" si="3"/>
        <v>0</v>
      </c>
      <c r="G67" s="151" t="s">
        <v>179</v>
      </c>
      <c r="H67" s="152">
        <f t="shared" si="5"/>
        <v>0</v>
      </c>
      <c r="I67" s="150">
        <v>6</v>
      </c>
      <c r="J67" s="153" t="s">
        <v>180</v>
      </c>
      <c r="K67" s="154">
        <f t="shared" si="4"/>
        <v>0</v>
      </c>
    </row>
    <row r="68" spans="3:11" ht="11.25" thickBot="1">
      <c r="D68" s="108"/>
      <c r="E68" s="108"/>
      <c r="F68" s="108"/>
      <c r="G68" s="108"/>
      <c r="H68" s="108"/>
      <c r="I68" s="108"/>
      <c r="J68" s="138" t="s">
        <v>193</v>
      </c>
      <c r="K68" s="139">
        <f>SUM(K52:K67)</f>
        <v>0</v>
      </c>
    </row>
    <row r="71" spans="3:11">
      <c r="C71" s="108" t="s">
        <v>197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1:M71"/>
  <sheetViews>
    <sheetView topLeftCell="A31" workbookViewId="0">
      <selection activeCell="T16" sqref="T16"/>
    </sheetView>
  </sheetViews>
  <sheetFormatPr defaultColWidth="8.7109375" defaultRowHeight="10.5"/>
  <cols>
    <col min="1" max="2" width="8.7109375" style="43"/>
    <col min="3" max="3" width="4.42578125" style="43" customWidth="1"/>
    <col min="4" max="4" width="13.7109375" style="43" customWidth="1"/>
    <col min="5" max="5" width="6.5703125" style="43" hidden="1" customWidth="1"/>
    <col min="6" max="6" width="6.140625" style="43" customWidth="1"/>
    <col min="7" max="7" width="4.42578125" style="43" customWidth="1"/>
    <col min="8" max="8" width="6.140625" style="43" customWidth="1"/>
    <col min="9" max="9" width="5" style="43" hidden="1" customWidth="1"/>
    <col min="10" max="10" width="4.42578125" style="43" customWidth="1"/>
    <col min="11" max="11" width="9.42578125" style="43" customWidth="1"/>
    <col min="12" max="16384" width="8.7109375" style="43"/>
  </cols>
  <sheetData>
    <row r="1" spans="3:13">
      <c r="J1" s="94"/>
      <c r="K1" s="94"/>
    </row>
    <row r="2" spans="3:13">
      <c r="M2" s="94"/>
    </row>
    <row r="3" spans="3:13">
      <c r="J3" s="94"/>
      <c r="K3" s="94"/>
    </row>
    <row r="4" spans="3:13">
      <c r="M4" s="94"/>
    </row>
    <row r="5" spans="3:13">
      <c r="J5" s="94"/>
      <c r="K5" s="95"/>
    </row>
    <row r="6" spans="3:13">
      <c r="M6" s="95"/>
    </row>
    <row r="7" spans="3:13">
      <c r="M7" s="95"/>
    </row>
    <row r="8" spans="3:13">
      <c r="M8" s="95"/>
    </row>
    <row r="9" spans="3:13">
      <c r="C9" s="43" t="s">
        <v>169</v>
      </c>
      <c r="K9" s="94" t="s">
        <v>19</v>
      </c>
      <c r="M9" s="95"/>
    </row>
    <row r="10" spans="3:13">
      <c r="C10" s="43" t="s">
        <v>170</v>
      </c>
      <c r="K10" s="94" t="s">
        <v>171</v>
      </c>
      <c r="M10" s="95"/>
    </row>
    <row r="12" spans="3:13" ht="11.25" thickBot="1"/>
    <row r="13" spans="3:13">
      <c r="D13" s="96" t="s">
        <v>42</v>
      </c>
      <c r="F13" s="97" t="str">
        <f>'Controller A (3)'!G6</f>
        <v>Amazon</v>
      </c>
      <c r="G13" s="98"/>
      <c r="H13" s="98"/>
      <c r="I13" s="98"/>
      <c r="J13" s="98"/>
      <c r="K13" s="99"/>
    </row>
    <row r="14" spans="3:13">
      <c r="D14" s="100" t="s">
        <v>4</v>
      </c>
      <c r="F14" s="101">
        <f>'Controller A (3)'!G9</f>
        <v>0</v>
      </c>
      <c r="G14" s="102"/>
      <c r="H14" s="102"/>
      <c r="I14" s="102"/>
      <c r="J14" s="102"/>
      <c r="K14" s="103"/>
    </row>
    <row r="15" spans="3:13" ht="11.25" thickBot="1">
      <c r="D15" s="104" t="s">
        <v>172</v>
      </c>
      <c r="F15" s="105" t="str">
        <f>'Controller A (3)'!G10</f>
        <v>9.25.2024</v>
      </c>
      <c r="G15" s="106"/>
      <c r="H15" s="106"/>
      <c r="I15" s="106"/>
      <c r="J15" s="106"/>
      <c r="K15" s="107"/>
    </row>
    <row r="18" spans="3:11">
      <c r="C18" s="108" t="s">
        <v>173</v>
      </c>
    </row>
    <row r="20" spans="3:11" ht="11.25" thickBot="1">
      <c r="C20" s="109" t="s">
        <v>174</v>
      </c>
      <c r="D20" s="109" t="s">
        <v>175</v>
      </c>
      <c r="E20" s="43" t="s">
        <v>176</v>
      </c>
      <c r="F20" s="109"/>
      <c r="G20" s="110" t="s">
        <v>177</v>
      </c>
      <c r="I20" s="109"/>
    </row>
    <row r="21" spans="3:11">
      <c r="C21" s="111">
        <f>'Controller A (3)'!R40</f>
        <v>7</v>
      </c>
      <c r="D21" s="112" t="s">
        <v>178</v>
      </c>
      <c r="E21" s="113">
        <v>2</v>
      </c>
      <c r="F21" s="114">
        <f t="shared" ref="F21:F44" si="0">C21*E21</f>
        <v>14</v>
      </c>
      <c r="G21" s="115" t="s">
        <v>179</v>
      </c>
      <c r="H21" s="116">
        <f>SUM(80/I21)*C21</f>
        <v>18.666666666666664</v>
      </c>
      <c r="I21" s="114">
        <v>30</v>
      </c>
      <c r="J21" s="117" t="s">
        <v>180</v>
      </c>
      <c r="K21" s="118">
        <f t="shared" ref="K21:K46" si="1">F21+H21</f>
        <v>32.666666666666664</v>
      </c>
    </row>
    <row r="22" spans="3:11">
      <c r="C22" s="119">
        <f>'Controller A (3)'!S40</f>
        <v>0</v>
      </c>
      <c r="D22" s="120" t="s">
        <v>181</v>
      </c>
      <c r="E22" s="121">
        <v>4.25</v>
      </c>
      <c r="F22" s="122">
        <f t="shared" si="0"/>
        <v>0</v>
      </c>
      <c r="G22" s="123" t="s">
        <v>179</v>
      </c>
      <c r="H22" s="124">
        <f>SUM(80/I22)*C22</f>
        <v>0</v>
      </c>
      <c r="I22" s="122">
        <v>30</v>
      </c>
      <c r="J22" s="125"/>
      <c r="K22" s="126">
        <f t="shared" si="1"/>
        <v>0</v>
      </c>
    </row>
    <row r="23" spans="3:11">
      <c r="C23" s="119">
        <f>'Controller A (3)'!T40</f>
        <v>0</v>
      </c>
      <c r="D23" s="120" t="s">
        <v>182</v>
      </c>
      <c r="E23" s="121">
        <v>10</v>
      </c>
      <c r="F23" s="122">
        <f t="shared" si="0"/>
        <v>0</v>
      </c>
      <c r="G23" s="123" t="s">
        <v>179</v>
      </c>
      <c r="H23" s="124">
        <f>SUM(80/I23)*C23</f>
        <v>0</v>
      </c>
      <c r="I23" s="122">
        <v>12</v>
      </c>
      <c r="J23" s="125" t="s">
        <v>180</v>
      </c>
      <c r="K23" s="126">
        <f t="shared" si="1"/>
        <v>0</v>
      </c>
    </row>
    <row r="24" spans="3:11">
      <c r="C24" s="119">
        <f>'Controller A (3)'!U40</f>
        <v>5</v>
      </c>
      <c r="D24" s="120" t="s">
        <v>183</v>
      </c>
      <c r="E24" s="121">
        <v>4</v>
      </c>
      <c r="F24" s="122">
        <f t="shared" si="0"/>
        <v>20</v>
      </c>
      <c r="G24" s="123" t="s">
        <v>179</v>
      </c>
      <c r="H24" s="124">
        <f>SUM(80/I24)*C24</f>
        <v>57.142857142857146</v>
      </c>
      <c r="I24" s="122">
        <v>7</v>
      </c>
      <c r="J24" s="125" t="s">
        <v>180</v>
      </c>
      <c r="K24" s="126">
        <f t="shared" si="1"/>
        <v>77.142857142857139</v>
      </c>
    </row>
    <row r="25" spans="3:11">
      <c r="C25" s="119">
        <f>'Controller A (3)'!V40</f>
        <v>0</v>
      </c>
      <c r="D25" s="120" t="s">
        <v>184</v>
      </c>
      <c r="E25" s="121">
        <v>8</v>
      </c>
      <c r="F25" s="122">
        <f t="shared" si="0"/>
        <v>0</v>
      </c>
      <c r="G25" s="123" t="s">
        <v>179</v>
      </c>
      <c r="H25" s="124">
        <f>SUM(80/I24)*C25</f>
        <v>0</v>
      </c>
      <c r="I25" s="122">
        <v>7</v>
      </c>
      <c r="J25" s="125" t="s">
        <v>180</v>
      </c>
      <c r="K25" s="126">
        <f t="shared" si="1"/>
        <v>0</v>
      </c>
    </row>
    <row r="26" spans="3:11">
      <c r="C26" s="119">
        <f>'Controller A (3)'!W40</f>
        <v>0</v>
      </c>
      <c r="D26" s="120" t="s">
        <v>185</v>
      </c>
      <c r="E26" s="121">
        <v>7</v>
      </c>
      <c r="F26" s="122">
        <f t="shared" si="0"/>
        <v>0</v>
      </c>
      <c r="G26" s="123" t="s">
        <v>179</v>
      </c>
      <c r="H26" s="124">
        <f>SUM(80/I26)*C26</f>
        <v>0</v>
      </c>
      <c r="I26" s="122">
        <v>6</v>
      </c>
      <c r="J26" s="125" t="s">
        <v>180</v>
      </c>
      <c r="K26" s="126">
        <f t="shared" si="1"/>
        <v>0</v>
      </c>
    </row>
    <row r="27" spans="3:11">
      <c r="C27" s="119">
        <f>'Controller A (3)'!X40</f>
        <v>0</v>
      </c>
      <c r="D27" s="120" t="s">
        <v>186</v>
      </c>
      <c r="E27" s="121">
        <v>15</v>
      </c>
      <c r="F27" s="122">
        <f t="shared" si="0"/>
        <v>0</v>
      </c>
      <c r="G27" s="123" t="s">
        <v>179</v>
      </c>
      <c r="H27" s="124">
        <f>SUM(80/I27)*C27</f>
        <v>0</v>
      </c>
      <c r="I27" s="122">
        <v>3</v>
      </c>
      <c r="J27" s="125" t="s">
        <v>180</v>
      </c>
      <c r="K27" s="126">
        <f t="shared" si="1"/>
        <v>0</v>
      </c>
    </row>
    <row r="28" spans="3:11">
      <c r="C28" s="119">
        <f>'Controller A (3)'!Y40</f>
        <v>0</v>
      </c>
      <c r="D28" s="120" t="s">
        <v>94</v>
      </c>
      <c r="E28" s="121">
        <v>3.5</v>
      </c>
      <c r="F28" s="122">
        <f t="shared" si="0"/>
        <v>0</v>
      </c>
      <c r="G28" s="123" t="s">
        <v>179</v>
      </c>
      <c r="H28" s="124">
        <f>SUM(80/I28)*C28</f>
        <v>0</v>
      </c>
      <c r="I28" s="122">
        <v>7</v>
      </c>
      <c r="J28" s="125" t="s">
        <v>180</v>
      </c>
      <c r="K28" s="126">
        <f t="shared" si="1"/>
        <v>0</v>
      </c>
    </row>
    <row r="29" spans="3:11">
      <c r="C29" s="119">
        <f>'Controller A (3)'!Z40</f>
        <v>5</v>
      </c>
      <c r="D29" s="120" t="s">
        <v>187</v>
      </c>
      <c r="E29" s="121">
        <v>20</v>
      </c>
      <c r="F29" s="122">
        <f t="shared" si="0"/>
        <v>100</v>
      </c>
      <c r="G29" s="123" t="s">
        <v>179</v>
      </c>
      <c r="H29" s="124">
        <f>SUM(80/I29)*C29</f>
        <v>100</v>
      </c>
      <c r="I29" s="122">
        <v>4</v>
      </c>
      <c r="J29" s="125" t="s">
        <v>180</v>
      </c>
      <c r="K29" s="126">
        <f t="shared" si="1"/>
        <v>200</v>
      </c>
    </row>
    <row r="30" spans="3:11">
      <c r="C30" s="119">
        <f>'Controller A (3)'!AA40</f>
        <v>0</v>
      </c>
      <c r="D30" s="120" t="s">
        <v>96</v>
      </c>
      <c r="E30" s="121">
        <v>5.25</v>
      </c>
      <c r="F30" s="122">
        <f t="shared" si="0"/>
        <v>0</v>
      </c>
      <c r="G30" s="123" t="s">
        <v>179</v>
      </c>
      <c r="H30" s="127">
        <f>SUM(15*I30)*C30</f>
        <v>0</v>
      </c>
      <c r="I30" s="122">
        <v>0.33</v>
      </c>
      <c r="J30" s="128" t="s">
        <v>180</v>
      </c>
      <c r="K30" s="126">
        <f t="shared" si="1"/>
        <v>0</v>
      </c>
    </row>
    <row r="31" spans="3:11">
      <c r="C31" s="119">
        <f>'Controller A (3)'!AB40</f>
        <v>1</v>
      </c>
      <c r="D31" s="120" t="s">
        <v>188</v>
      </c>
      <c r="E31" s="121">
        <v>34.5</v>
      </c>
      <c r="F31" s="122">
        <f t="shared" si="0"/>
        <v>34.5</v>
      </c>
      <c r="G31" s="123" t="s">
        <v>179</v>
      </c>
      <c r="H31" s="127">
        <f>SUM(80/I31)*C31</f>
        <v>40</v>
      </c>
      <c r="I31" s="122">
        <v>2</v>
      </c>
      <c r="J31" s="128" t="s">
        <v>180</v>
      </c>
      <c r="K31" s="126">
        <f t="shared" si="1"/>
        <v>74.5</v>
      </c>
    </row>
    <row r="32" spans="3:11">
      <c r="C32" s="119">
        <f>'Controller A (3)'!AC40</f>
        <v>3</v>
      </c>
      <c r="D32" s="120" t="s">
        <v>189</v>
      </c>
      <c r="E32" s="121">
        <v>50</v>
      </c>
      <c r="F32" s="122">
        <f t="shared" si="0"/>
        <v>150</v>
      </c>
      <c r="G32" s="123" t="s">
        <v>179</v>
      </c>
      <c r="H32" s="127">
        <f t="shared" ref="H32:H46" si="2">SUM(80/I32)*C32</f>
        <v>240</v>
      </c>
      <c r="I32" s="122">
        <v>1</v>
      </c>
      <c r="J32" s="128"/>
      <c r="K32" s="126">
        <f t="shared" si="1"/>
        <v>390</v>
      </c>
    </row>
    <row r="33" spans="3:11">
      <c r="C33" s="119">
        <f>'Controller A (3)'!AD40</f>
        <v>0</v>
      </c>
      <c r="D33" s="120" t="s">
        <v>99</v>
      </c>
      <c r="E33" s="121">
        <v>135</v>
      </c>
      <c r="F33" s="122">
        <f t="shared" si="0"/>
        <v>0</v>
      </c>
      <c r="G33" s="123" t="s">
        <v>179</v>
      </c>
      <c r="H33" s="127">
        <f t="shared" si="2"/>
        <v>0</v>
      </c>
      <c r="I33" s="122">
        <v>0.5</v>
      </c>
      <c r="J33" s="128" t="s">
        <v>180</v>
      </c>
      <c r="K33" s="126">
        <f t="shared" si="1"/>
        <v>0</v>
      </c>
    </row>
    <row r="34" spans="3:11" ht="11.25">
      <c r="C34" s="119">
        <f>'Controller A (3)'!AE40</f>
        <v>0</v>
      </c>
      <c r="D34" s="120" t="s">
        <v>190</v>
      </c>
      <c r="E34" s="121">
        <v>115</v>
      </c>
      <c r="F34" s="122">
        <f t="shared" si="0"/>
        <v>0</v>
      </c>
      <c r="G34" s="123" t="s">
        <v>179</v>
      </c>
      <c r="H34" s="127">
        <f t="shared" si="2"/>
        <v>0</v>
      </c>
      <c r="I34" s="122">
        <v>1</v>
      </c>
      <c r="J34" s="128" t="s">
        <v>180</v>
      </c>
      <c r="K34" s="126">
        <f t="shared" si="1"/>
        <v>0</v>
      </c>
    </row>
    <row r="35" spans="3:11">
      <c r="C35" s="119">
        <f>'Controller A (3)'!AF40</f>
        <v>0</v>
      </c>
      <c r="D35" s="120" t="s">
        <v>101</v>
      </c>
      <c r="E35" s="121">
        <v>75</v>
      </c>
      <c r="F35" s="122">
        <f t="shared" si="0"/>
        <v>0</v>
      </c>
      <c r="G35" s="123" t="s">
        <v>179</v>
      </c>
      <c r="H35" s="127">
        <f t="shared" si="2"/>
        <v>0</v>
      </c>
      <c r="I35" s="122">
        <v>2</v>
      </c>
      <c r="J35" s="128" t="s">
        <v>180</v>
      </c>
      <c r="K35" s="126">
        <f t="shared" si="1"/>
        <v>0</v>
      </c>
    </row>
    <row r="36" spans="3:11">
      <c r="C36" s="119">
        <f>'Controller A (3)'!AG40</f>
        <v>0</v>
      </c>
      <c r="D36" s="120" t="s">
        <v>102</v>
      </c>
      <c r="E36" s="121">
        <v>138</v>
      </c>
      <c r="F36" s="122">
        <f t="shared" si="0"/>
        <v>0</v>
      </c>
      <c r="G36" s="123" t="s">
        <v>179</v>
      </c>
      <c r="H36" s="127">
        <f t="shared" si="2"/>
        <v>0</v>
      </c>
      <c r="I36" s="122">
        <v>1</v>
      </c>
      <c r="J36" s="128" t="s">
        <v>180</v>
      </c>
      <c r="K36" s="126">
        <f t="shared" si="1"/>
        <v>0</v>
      </c>
    </row>
    <row r="37" spans="3:11">
      <c r="C37" s="119">
        <f>'Controller A (3)'!AH40</f>
        <v>0</v>
      </c>
      <c r="D37" s="120" t="s">
        <v>103</v>
      </c>
      <c r="E37" s="121">
        <v>30</v>
      </c>
      <c r="F37" s="122">
        <f t="shared" si="0"/>
        <v>0</v>
      </c>
      <c r="G37" s="123" t="s">
        <v>179</v>
      </c>
      <c r="H37" s="127">
        <f t="shared" si="2"/>
        <v>0</v>
      </c>
      <c r="I37" s="122">
        <v>2</v>
      </c>
      <c r="J37" s="128" t="s">
        <v>180</v>
      </c>
      <c r="K37" s="126">
        <f t="shared" si="1"/>
        <v>0</v>
      </c>
    </row>
    <row r="38" spans="3:11">
      <c r="C38" s="119">
        <f>'Controller A (3)'!AI40</f>
        <v>0</v>
      </c>
      <c r="D38" s="120" t="s">
        <v>104</v>
      </c>
      <c r="E38" s="121">
        <v>30</v>
      </c>
      <c r="F38" s="122">
        <f t="shared" si="0"/>
        <v>0</v>
      </c>
      <c r="G38" s="123" t="s">
        <v>179</v>
      </c>
      <c r="H38" s="127">
        <f t="shared" si="2"/>
        <v>0</v>
      </c>
      <c r="I38" s="122">
        <v>2</v>
      </c>
      <c r="J38" s="128" t="s">
        <v>180</v>
      </c>
      <c r="K38" s="126">
        <f t="shared" si="1"/>
        <v>0</v>
      </c>
    </row>
    <row r="39" spans="3:11">
      <c r="C39" s="119">
        <f>'Controller A (3)'!AJ40</f>
        <v>2</v>
      </c>
      <c r="D39" s="120" t="s">
        <v>105</v>
      </c>
      <c r="E39" s="121">
        <v>246</v>
      </c>
      <c r="F39" s="122">
        <f t="shared" si="0"/>
        <v>492</v>
      </c>
      <c r="G39" s="128" t="s">
        <v>179</v>
      </c>
      <c r="H39" s="127">
        <f t="shared" si="2"/>
        <v>320</v>
      </c>
      <c r="I39" s="122">
        <v>0.5</v>
      </c>
      <c r="J39" s="128" t="s">
        <v>180</v>
      </c>
      <c r="K39" s="126">
        <f t="shared" si="1"/>
        <v>812</v>
      </c>
    </row>
    <row r="40" spans="3:11">
      <c r="C40" s="119">
        <f>'Controller A (3)'!AK40</f>
        <v>0</v>
      </c>
      <c r="D40" s="120" t="s">
        <v>106</v>
      </c>
      <c r="E40" s="121">
        <v>11.5</v>
      </c>
      <c r="F40" s="122">
        <f t="shared" si="0"/>
        <v>0</v>
      </c>
      <c r="G40" s="128" t="s">
        <v>179</v>
      </c>
      <c r="H40" s="127">
        <f t="shared" si="2"/>
        <v>0</v>
      </c>
      <c r="I40" s="122">
        <v>30</v>
      </c>
      <c r="J40" s="128" t="s">
        <v>180</v>
      </c>
      <c r="K40" s="126">
        <f t="shared" si="1"/>
        <v>0</v>
      </c>
    </row>
    <row r="41" spans="3:11">
      <c r="C41" s="119">
        <f>'Controller A (3)'!AL40</f>
        <v>0</v>
      </c>
      <c r="D41" s="120" t="s">
        <v>107</v>
      </c>
      <c r="E41" s="121">
        <v>20</v>
      </c>
      <c r="F41" s="122">
        <f t="shared" si="0"/>
        <v>0</v>
      </c>
      <c r="G41" s="128" t="s">
        <v>179</v>
      </c>
      <c r="H41" s="127">
        <f t="shared" si="2"/>
        <v>0</v>
      </c>
      <c r="I41" s="122">
        <v>30</v>
      </c>
      <c r="J41" s="128" t="s">
        <v>180</v>
      </c>
      <c r="K41" s="126">
        <f t="shared" si="1"/>
        <v>0</v>
      </c>
    </row>
    <row r="42" spans="3:11">
      <c r="C42" s="119">
        <f>'Controller A (3)'!AM40</f>
        <v>0</v>
      </c>
      <c r="D42" s="120" t="s">
        <v>108</v>
      </c>
      <c r="E42" s="121">
        <v>7.5</v>
      </c>
      <c r="F42" s="122">
        <f t="shared" si="0"/>
        <v>0</v>
      </c>
      <c r="G42" s="128" t="s">
        <v>179</v>
      </c>
      <c r="H42" s="127">
        <f t="shared" si="2"/>
        <v>0</v>
      </c>
      <c r="I42" s="122">
        <v>30</v>
      </c>
      <c r="J42" s="128" t="s">
        <v>180</v>
      </c>
      <c r="K42" s="126">
        <f t="shared" si="1"/>
        <v>0</v>
      </c>
    </row>
    <row r="43" spans="3:11">
      <c r="C43" s="119">
        <f>'Controller A (3)'!AN40</f>
        <v>0</v>
      </c>
      <c r="D43" s="120" t="s">
        <v>109</v>
      </c>
      <c r="E43" s="121">
        <v>10</v>
      </c>
      <c r="F43" s="122">
        <f t="shared" si="0"/>
        <v>0</v>
      </c>
      <c r="G43" s="128" t="s">
        <v>179</v>
      </c>
      <c r="H43" s="127">
        <f t="shared" si="2"/>
        <v>0</v>
      </c>
      <c r="I43" s="122">
        <v>30</v>
      </c>
      <c r="J43" s="128" t="s">
        <v>180</v>
      </c>
      <c r="K43" s="126">
        <f t="shared" si="1"/>
        <v>0</v>
      </c>
    </row>
    <row r="44" spans="3:11">
      <c r="C44" s="119">
        <f>'Controller A (3)'!AO40</f>
        <v>2</v>
      </c>
      <c r="D44" s="120" t="s">
        <v>110</v>
      </c>
      <c r="E44" s="121">
        <v>5.75</v>
      </c>
      <c r="F44" s="122">
        <f t="shared" si="0"/>
        <v>11.5</v>
      </c>
      <c r="G44" s="128" t="s">
        <v>179</v>
      </c>
      <c r="H44" s="127">
        <f t="shared" si="2"/>
        <v>26.666666666666668</v>
      </c>
      <c r="I44" s="122">
        <v>6</v>
      </c>
      <c r="J44" s="128" t="s">
        <v>180</v>
      </c>
      <c r="K44" s="126">
        <f t="shared" si="1"/>
        <v>38.166666666666671</v>
      </c>
    </row>
    <row r="45" spans="3:11">
      <c r="C45" s="119">
        <f>'Controller A (3)'!AP40</f>
        <v>0</v>
      </c>
      <c r="D45" s="120" t="s">
        <v>191</v>
      </c>
      <c r="E45" s="121">
        <v>115</v>
      </c>
      <c r="F45" s="122">
        <f>C45*E45</f>
        <v>0</v>
      </c>
      <c r="G45" s="128" t="s">
        <v>179</v>
      </c>
      <c r="H45" s="127">
        <f>SUM(80*I45)*C45</f>
        <v>0</v>
      </c>
      <c r="I45" s="122">
        <v>0.5</v>
      </c>
      <c r="J45" s="128" t="s">
        <v>180</v>
      </c>
      <c r="K45" s="126">
        <f t="shared" si="1"/>
        <v>0</v>
      </c>
    </row>
    <row r="46" spans="3:11" ht="11.25" thickBot="1">
      <c r="C46" s="129">
        <f>'Controller A (3)'!AQ40</f>
        <v>3</v>
      </c>
      <c r="D46" s="130" t="s">
        <v>192</v>
      </c>
      <c r="E46" s="131">
        <v>125</v>
      </c>
      <c r="F46" s="132">
        <f>C46*E46</f>
        <v>375</v>
      </c>
      <c r="G46" s="133" t="s">
        <v>179</v>
      </c>
      <c r="H46" s="134">
        <f t="shared" si="2"/>
        <v>240</v>
      </c>
      <c r="I46" s="132">
        <v>1</v>
      </c>
      <c r="J46" s="133" t="s">
        <v>180</v>
      </c>
      <c r="K46" s="135">
        <f t="shared" si="1"/>
        <v>615</v>
      </c>
    </row>
    <row r="47" spans="3:11" ht="11.25" thickBot="1">
      <c r="C47" s="108"/>
      <c r="D47" s="108"/>
      <c r="F47" s="136"/>
      <c r="G47" s="137"/>
      <c r="I47" s="94"/>
      <c r="J47" s="138" t="s">
        <v>193</v>
      </c>
      <c r="K47" s="139">
        <f>SUM(K21:K46)</f>
        <v>2239.4761904761908</v>
      </c>
    </row>
    <row r="49" spans="3:11">
      <c r="C49" s="108" t="s">
        <v>194</v>
      </c>
    </row>
    <row r="51" spans="3:11" ht="11.25" thickBot="1">
      <c r="C51" s="109" t="s">
        <v>174</v>
      </c>
      <c r="D51" s="109" t="s">
        <v>175</v>
      </c>
      <c r="F51" s="109"/>
      <c r="G51" s="110" t="s">
        <v>177</v>
      </c>
      <c r="I51" s="109"/>
    </row>
    <row r="52" spans="3:11">
      <c r="C52" s="111">
        <f>'Controller A (3)'!AR40</f>
        <v>0</v>
      </c>
      <c r="D52" s="112" t="s">
        <v>178</v>
      </c>
      <c r="E52" s="113">
        <v>2</v>
      </c>
      <c r="F52" s="114">
        <f t="shared" ref="F52:F67" si="3">C52*E52</f>
        <v>0</v>
      </c>
      <c r="G52" s="115" t="s">
        <v>179</v>
      </c>
      <c r="H52" s="116">
        <f>SUM(80/I52)*C52</f>
        <v>0</v>
      </c>
      <c r="I52" s="114">
        <v>30</v>
      </c>
      <c r="J52" s="117" t="s">
        <v>180</v>
      </c>
      <c r="K52" s="118">
        <f t="shared" ref="K52:K67" si="4">F52+H52</f>
        <v>0</v>
      </c>
    </row>
    <row r="53" spans="3:11">
      <c r="C53" s="119">
        <f>'Controller A (3)'!AS40</f>
        <v>0</v>
      </c>
      <c r="D53" s="120" t="s">
        <v>181</v>
      </c>
      <c r="E53" s="121">
        <v>4.25</v>
      </c>
      <c r="F53" s="122">
        <f t="shared" si="3"/>
        <v>0</v>
      </c>
      <c r="G53" s="123" t="s">
        <v>179</v>
      </c>
      <c r="H53" s="124">
        <f>SUM(80/I53)*C53</f>
        <v>0</v>
      </c>
      <c r="I53" s="122">
        <v>30</v>
      </c>
      <c r="J53" s="125"/>
      <c r="K53" s="126">
        <f t="shared" si="4"/>
        <v>0</v>
      </c>
    </row>
    <row r="54" spans="3:11">
      <c r="C54" s="119">
        <f>'Controller A (3)'!AT40</f>
        <v>0</v>
      </c>
      <c r="D54" s="120" t="s">
        <v>182</v>
      </c>
      <c r="E54" s="121">
        <v>10</v>
      </c>
      <c r="F54" s="122">
        <f t="shared" si="3"/>
        <v>0</v>
      </c>
      <c r="G54" s="123" t="s">
        <v>179</v>
      </c>
      <c r="H54" s="124">
        <f>SUM(80/I54)*C54</f>
        <v>0</v>
      </c>
      <c r="I54" s="122">
        <v>12</v>
      </c>
      <c r="J54" s="125" t="s">
        <v>180</v>
      </c>
      <c r="K54" s="126">
        <f t="shared" si="4"/>
        <v>0</v>
      </c>
    </row>
    <row r="55" spans="3:11">
      <c r="C55" s="119">
        <f>'Controller A (3)'!AU40</f>
        <v>0</v>
      </c>
      <c r="D55" s="120" t="s">
        <v>183</v>
      </c>
      <c r="E55" s="121">
        <v>4</v>
      </c>
      <c r="F55" s="122">
        <f t="shared" si="3"/>
        <v>0</v>
      </c>
      <c r="G55" s="123" t="s">
        <v>179</v>
      </c>
      <c r="H55" s="124">
        <f>SUM(80/I55)*C55</f>
        <v>0</v>
      </c>
      <c r="I55" s="122">
        <v>7</v>
      </c>
      <c r="J55" s="125" t="s">
        <v>180</v>
      </c>
      <c r="K55" s="126">
        <f t="shared" si="4"/>
        <v>0</v>
      </c>
    </row>
    <row r="56" spans="3:11">
      <c r="C56" s="119">
        <f>'Controller A (3)'!AV40</f>
        <v>0</v>
      </c>
      <c r="D56" s="120" t="s">
        <v>184</v>
      </c>
      <c r="E56" s="121">
        <v>8</v>
      </c>
      <c r="F56" s="122">
        <f t="shared" si="3"/>
        <v>0</v>
      </c>
      <c r="G56" s="123" t="s">
        <v>179</v>
      </c>
      <c r="H56" s="124">
        <f>SUM(80/I55)*C56</f>
        <v>0</v>
      </c>
      <c r="I56" s="122">
        <v>7</v>
      </c>
      <c r="J56" s="125" t="s">
        <v>180</v>
      </c>
      <c r="K56" s="126">
        <f t="shared" si="4"/>
        <v>0</v>
      </c>
    </row>
    <row r="57" spans="3:11">
      <c r="C57" s="119">
        <f>'Controller A (3)'!AW40</f>
        <v>0</v>
      </c>
      <c r="D57" s="120" t="s">
        <v>185</v>
      </c>
      <c r="E57" s="121">
        <v>7</v>
      </c>
      <c r="F57" s="122">
        <f t="shared" si="3"/>
        <v>0</v>
      </c>
      <c r="G57" s="123" t="s">
        <v>179</v>
      </c>
      <c r="H57" s="124">
        <f>SUM(80/I57)*C57</f>
        <v>0</v>
      </c>
      <c r="I57" s="122">
        <v>6</v>
      </c>
      <c r="J57" s="125" t="s">
        <v>180</v>
      </c>
      <c r="K57" s="126">
        <f t="shared" si="4"/>
        <v>0</v>
      </c>
    </row>
    <row r="58" spans="3:11">
      <c r="C58" s="119">
        <f>'Controller A (3)'!AX40</f>
        <v>0</v>
      </c>
      <c r="D58" s="120" t="s">
        <v>186</v>
      </c>
      <c r="E58" s="121">
        <v>15</v>
      </c>
      <c r="F58" s="122">
        <f t="shared" si="3"/>
        <v>0</v>
      </c>
      <c r="G58" s="123" t="s">
        <v>179</v>
      </c>
      <c r="H58" s="124">
        <f>SUM(80/I58)*C58</f>
        <v>0</v>
      </c>
      <c r="I58" s="122">
        <v>3</v>
      </c>
      <c r="J58" s="125" t="s">
        <v>180</v>
      </c>
      <c r="K58" s="126">
        <f t="shared" si="4"/>
        <v>0</v>
      </c>
    </row>
    <row r="59" spans="3:11">
      <c r="C59" s="119">
        <f>'Controller A (3)'!AY40</f>
        <v>0</v>
      </c>
      <c r="D59" s="120" t="s">
        <v>113</v>
      </c>
      <c r="E59" s="121">
        <v>150</v>
      </c>
      <c r="F59" s="122">
        <f>C59*E59</f>
        <v>0</v>
      </c>
      <c r="G59" s="123" t="s">
        <v>179</v>
      </c>
      <c r="H59" s="127">
        <f>SUM(80*I59)*C59</f>
        <v>0</v>
      </c>
      <c r="I59" s="122">
        <v>1</v>
      </c>
      <c r="J59" s="128" t="s">
        <v>180</v>
      </c>
      <c r="K59" s="126">
        <f t="shared" si="4"/>
        <v>0</v>
      </c>
    </row>
    <row r="60" spans="3:11">
      <c r="C60" s="119">
        <f>'Controller A (3)'!AZ40</f>
        <v>0</v>
      </c>
      <c r="D60" s="120" t="s">
        <v>94</v>
      </c>
      <c r="E60" s="121">
        <v>3.5</v>
      </c>
      <c r="F60" s="122">
        <f t="shared" si="3"/>
        <v>0</v>
      </c>
      <c r="G60" s="123" t="s">
        <v>179</v>
      </c>
      <c r="H60" s="124">
        <f t="shared" ref="H60:H67" si="5">SUM(80/I60)*C60</f>
        <v>0</v>
      </c>
      <c r="I60" s="122">
        <v>7</v>
      </c>
      <c r="J60" s="125" t="s">
        <v>180</v>
      </c>
      <c r="K60" s="126">
        <f t="shared" si="4"/>
        <v>0</v>
      </c>
    </row>
    <row r="61" spans="3:11">
      <c r="C61" s="119">
        <f>'Controller A (3)'!BA40</f>
        <v>0</v>
      </c>
      <c r="D61" s="120" t="s">
        <v>187</v>
      </c>
      <c r="E61" s="121">
        <v>20</v>
      </c>
      <c r="F61" s="122">
        <f t="shared" si="3"/>
        <v>0</v>
      </c>
      <c r="G61" s="123" t="s">
        <v>179</v>
      </c>
      <c r="H61" s="124">
        <f t="shared" si="5"/>
        <v>0</v>
      </c>
      <c r="I61" s="122">
        <v>4</v>
      </c>
      <c r="J61" s="125" t="s">
        <v>180</v>
      </c>
      <c r="K61" s="126">
        <f t="shared" si="4"/>
        <v>0</v>
      </c>
    </row>
    <row r="62" spans="3:11">
      <c r="C62" s="119">
        <f>'Controller A (3)'!BB40</f>
        <v>0</v>
      </c>
      <c r="D62" s="120" t="s">
        <v>114</v>
      </c>
      <c r="E62" s="121">
        <v>3.45</v>
      </c>
      <c r="F62" s="122">
        <f t="shared" si="3"/>
        <v>0</v>
      </c>
      <c r="G62" s="140" t="s">
        <v>179</v>
      </c>
      <c r="H62" s="124">
        <f t="shared" si="5"/>
        <v>0</v>
      </c>
      <c r="I62" s="122">
        <v>6</v>
      </c>
      <c r="J62" s="125" t="s">
        <v>180</v>
      </c>
      <c r="K62" s="126">
        <f t="shared" si="4"/>
        <v>0</v>
      </c>
    </row>
    <row r="63" spans="3:11">
      <c r="C63" s="119">
        <f>'Controller A (3)'!BC40</f>
        <v>0</v>
      </c>
      <c r="D63" s="120" t="s">
        <v>115</v>
      </c>
      <c r="E63" s="121">
        <v>8.0500000000000007</v>
      </c>
      <c r="F63" s="122">
        <f t="shared" si="3"/>
        <v>0</v>
      </c>
      <c r="G63" s="123" t="s">
        <v>179</v>
      </c>
      <c r="H63" s="124">
        <f t="shared" si="5"/>
        <v>0</v>
      </c>
      <c r="I63" s="122">
        <v>6</v>
      </c>
      <c r="J63" s="125" t="s">
        <v>180</v>
      </c>
      <c r="K63" s="126">
        <f t="shared" si="4"/>
        <v>0</v>
      </c>
    </row>
    <row r="64" spans="3:11">
      <c r="C64" s="119">
        <f>'Controller A (3)'!BD40</f>
        <v>0</v>
      </c>
      <c r="D64" s="120" t="s">
        <v>116</v>
      </c>
      <c r="E64" s="121">
        <v>11.5</v>
      </c>
      <c r="F64" s="122">
        <f t="shared" si="3"/>
        <v>0</v>
      </c>
      <c r="G64" s="123" t="s">
        <v>179</v>
      </c>
      <c r="H64" s="124">
        <f t="shared" si="5"/>
        <v>0</v>
      </c>
      <c r="I64" s="122">
        <v>3</v>
      </c>
      <c r="J64" s="125" t="s">
        <v>180</v>
      </c>
      <c r="K64" s="126">
        <f t="shared" si="4"/>
        <v>0</v>
      </c>
    </row>
    <row r="65" spans="3:11">
      <c r="C65" s="119">
        <f>'Controller A (3)'!BE40</f>
        <v>0</v>
      </c>
      <c r="D65" s="141" t="s">
        <v>195</v>
      </c>
      <c r="E65" s="142">
        <v>9.92</v>
      </c>
      <c r="F65" s="143">
        <f t="shared" si="3"/>
        <v>0</v>
      </c>
      <c r="G65" s="144" t="s">
        <v>179</v>
      </c>
      <c r="H65" s="145">
        <f t="shared" si="5"/>
        <v>0</v>
      </c>
      <c r="I65" s="143">
        <v>8</v>
      </c>
      <c r="J65" s="146" t="s">
        <v>180</v>
      </c>
      <c r="K65" s="147">
        <f t="shared" si="4"/>
        <v>0</v>
      </c>
    </row>
    <row r="66" spans="3:11">
      <c r="C66" s="119">
        <f>'Controller A (3)'!BF40</f>
        <v>0</v>
      </c>
      <c r="D66" s="141" t="s">
        <v>196</v>
      </c>
      <c r="E66" s="142">
        <v>17.25</v>
      </c>
      <c r="F66" s="143">
        <f t="shared" si="3"/>
        <v>0</v>
      </c>
      <c r="G66" s="144"/>
      <c r="H66" s="145">
        <f t="shared" si="5"/>
        <v>0</v>
      </c>
      <c r="I66" s="143">
        <v>6</v>
      </c>
      <c r="J66" s="146"/>
      <c r="K66" s="147">
        <f t="shared" si="4"/>
        <v>0</v>
      </c>
    </row>
    <row r="67" spans="3:11" ht="11.25" thickBot="1">
      <c r="C67" s="129">
        <f>'Controller A (3)'!BG40</f>
        <v>0</v>
      </c>
      <c r="D67" s="148" t="s">
        <v>119</v>
      </c>
      <c r="E67" s="149">
        <v>5.75</v>
      </c>
      <c r="F67" s="150">
        <f t="shared" si="3"/>
        <v>0</v>
      </c>
      <c r="G67" s="151" t="s">
        <v>179</v>
      </c>
      <c r="H67" s="152">
        <f t="shared" si="5"/>
        <v>0</v>
      </c>
      <c r="I67" s="150">
        <v>6</v>
      </c>
      <c r="J67" s="153" t="s">
        <v>180</v>
      </c>
      <c r="K67" s="154">
        <f t="shared" si="4"/>
        <v>0</v>
      </c>
    </row>
    <row r="68" spans="3:11" ht="11.25" thickBot="1">
      <c r="D68" s="108"/>
      <c r="E68" s="108"/>
      <c r="F68" s="108"/>
      <c r="G68" s="108"/>
      <c r="H68" s="108"/>
      <c r="I68" s="108"/>
      <c r="J68" s="138" t="s">
        <v>193</v>
      </c>
      <c r="K68" s="139">
        <f>SUM(K52:K67)</f>
        <v>0</v>
      </c>
    </row>
    <row r="71" spans="3:11">
      <c r="C71" s="108" t="s">
        <v>197</v>
      </c>
    </row>
  </sheetData>
  <sheetProtection password="CC5F" sheet="1" objects="1" scenarios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9:M63"/>
  <sheetViews>
    <sheetView topLeftCell="A19" workbookViewId="0">
      <selection activeCell="T16" sqref="T16"/>
    </sheetView>
  </sheetViews>
  <sheetFormatPr defaultColWidth="8.7109375" defaultRowHeight="10.5"/>
  <cols>
    <col min="1" max="2" width="8.7109375" style="43"/>
    <col min="3" max="3" width="4.42578125" style="43" customWidth="1"/>
    <col min="4" max="4" width="17.85546875" style="43" customWidth="1"/>
    <col min="5" max="5" width="6.42578125" style="43" hidden="1" customWidth="1"/>
    <col min="6" max="6" width="6.42578125" style="43" customWidth="1"/>
    <col min="7" max="7" width="4.42578125" style="43" customWidth="1"/>
    <col min="8" max="8" width="5.5703125" style="43" hidden="1" customWidth="1"/>
    <col min="9" max="9" width="5.5703125" style="43" customWidth="1"/>
    <col min="10" max="10" width="4.42578125" style="43" customWidth="1"/>
    <col min="11" max="11" width="9.42578125" style="43" customWidth="1"/>
    <col min="12" max="16384" width="8.7109375" style="43"/>
  </cols>
  <sheetData>
    <row r="9" spans="3:13">
      <c r="C9" s="43" t="s">
        <v>169</v>
      </c>
      <c r="K9" s="94" t="s">
        <v>19</v>
      </c>
    </row>
    <row r="10" spans="3:13">
      <c r="C10" s="43" t="s">
        <v>170</v>
      </c>
      <c r="K10" s="94" t="s">
        <v>171</v>
      </c>
    </row>
    <row r="12" spans="3:13" ht="11.25" thickBot="1"/>
    <row r="13" spans="3:13">
      <c r="D13" s="96" t="s">
        <v>42</v>
      </c>
      <c r="F13" s="97" t="str">
        <f>Cover!A8</f>
        <v>Amazon</v>
      </c>
      <c r="G13" s="98"/>
      <c r="H13" s="98"/>
      <c r="I13" s="98"/>
      <c r="J13" s="98"/>
      <c r="K13" s="99"/>
      <c r="M13" s="94"/>
    </row>
    <row r="14" spans="3:13">
      <c r="D14" s="100" t="s">
        <v>4</v>
      </c>
      <c r="F14" s="101">
        <f>Cover!K9</f>
        <v>0</v>
      </c>
      <c r="G14" s="102"/>
      <c r="H14" s="102"/>
      <c r="I14" s="102"/>
      <c r="J14" s="102"/>
      <c r="K14" s="103"/>
      <c r="M14" s="94"/>
    </row>
    <row r="15" spans="3:13" ht="11.25" thickBot="1">
      <c r="D15" s="104" t="s">
        <v>172</v>
      </c>
      <c r="F15" s="105" t="str">
        <f>Cover!I14</f>
        <v>9.25.2024</v>
      </c>
      <c r="G15" s="106"/>
      <c r="H15" s="106"/>
      <c r="I15" s="106"/>
      <c r="J15" s="106"/>
      <c r="K15" s="107"/>
      <c r="M15" s="94"/>
    </row>
    <row r="16" spans="3:13">
      <c r="M16" s="95"/>
    </row>
    <row r="18" spans="3:11">
      <c r="C18" s="108" t="s">
        <v>250</v>
      </c>
    </row>
    <row r="19" spans="3:11" ht="11.25" thickBot="1">
      <c r="C19" s="109" t="s">
        <v>174</v>
      </c>
      <c r="D19" s="109" t="s">
        <v>175</v>
      </c>
      <c r="E19" s="109"/>
      <c r="F19" s="155"/>
      <c r="G19" s="155" t="s">
        <v>177</v>
      </c>
      <c r="H19" s="109"/>
      <c r="I19" s="109"/>
    </row>
    <row r="20" spans="3:11">
      <c r="C20" s="156"/>
      <c r="D20" s="157" t="s">
        <v>251</v>
      </c>
      <c r="E20" s="158">
        <v>650</v>
      </c>
      <c r="F20" s="159">
        <f t="shared" ref="F20:F30" si="0">+E20*C20</f>
        <v>0</v>
      </c>
      <c r="G20" s="160" t="s">
        <v>252</v>
      </c>
      <c r="H20" s="159">
        <v>80</v>
      </c>
      <c r="I20" s="161">
        <f>SUM(C20*80*4)</f>
        <v>0</v>
      </c>
      <c r="J20" s="160" t="s">
        <v>253</v>
      </c>
      <c r="K20" s="162">
        <f t="shared" ref="K20:K30" si="1">F20+I20</f>
        <v>0</v>
      </c>
    </row>
    <row r="21" spans="3:11">
      <c r="C21" s="163"/>
      <c r="D21" s="141" t="s">
        <v>254</v>
      </c>
      <c r="E21" s="142">
        <v>721.74</v>
      </c>
      <c r="F21" s="143">
        <v>0</v>
      </c>
      <c r="G21" s="146" t="s">
        <v>252</v>
      </c>
      <c r="H21" s="143">
        <v>80</v>
      </c>
      <c r="I21" s="164">
        <f>SUM(C21*80*4)</f>
        <v>0</v>
      </c>
      <c r="J21" s="146" t="s">
        <v>253</v>
      </c>
      <c r="K21" s="165">
        <f t="shared" si="1"/>
        <v>0</v>
      </c>
    </row>
    <row r="22" spans="3:11">
      <c r="C22" s="163"/>
      <c r="D22" s="141" t="s">
        <v>255</v>
      </c>
      <c r="E22" s="142">
        <v>250</v>
      </c>
      <c r="F22" s="143">
        <f t="shared" si="0"/>
        <v>0</v>
      </c>
      <c r="G22" s="146" t="s">
        <v>252</v>
      </c>
      <c r="H22" s="143">
        <v>80</v>
      </c>
      <c r="I22" s="164">
        <f>SUM(C22*80*2)</f>
        <v>0</v>
      </c>
      <c r="J22" s="146" t="s">
        <v>253</v>
      </c>
      <c r="K22" s="165">
        <f t="shared" si="1"/>
        <v>0</v>
      </c>
    </row>
    <row r="23" spans="3:11">
      <c r="C23" s="163"/>
      <c r="D23" s="141" t="s">
        <v>256</v>
      </c>
      <c r="E23" s="142">
        <v>299.45999999999998</v>
      </c>
      <c r="F23" s="143">
        <f t="shared" si="0"/>
        <v>0</v>
      </c>
      <c r="G23" s="146" t="s">
        <v>252</v>
      </c>
      <c r="H23" s="143">
        <v>80</v>
      </c>
      <c r="I23" s="164">
        <f>SUM(C23*80*2)</f>
        <v>0</v>
      </c>
      <c r="J23" s="146" t="s">
        <v>253</v>
      </c>
      <c r="K23" s="165">
        <f t="shared" si="1"/>
        <v>0</v>
      </c>
    </row>
    <row r="24" spans="3:11">
      <c r="C24" s="163"/>
      <c r="D24" s="141" t="s">
        <v>257</v>
      </c>
      <c r="E24" s="142">
        <v>76.877499999999998</v>
      </c>
      <c r="F24" s="143">
        <f t="shared" si="0"/>
        <v>0</v>
      </c>
      <c r="G24" s="146" t="s">
        <v>252</v>
      </c>
      <c r="H24" s="143">
        <v>80</v>
      </c>
      <c r="I24" s="164">
        <f>SUM(C24*80*2)</f>
        <v>0</v>
      </c>
      <c r="J24" s="146" t="s">
        <v>253</v>
      </c>
      <c r="K24" s="165">
        <f t="shared" si="1"/>
        <v>0</v>
      </c>
    </row>
    <row r="25" spans="3:11">
      <c r="C25" s="163"/>
      <c r="D25" s="141" t="s">
        <v>258</v>
      </c>
      <c r="E25" s="142">
        <v>36.972499999999997</v>
      </c>
      <c r="F25" s="143">
        <f t="shared" si="0"/>
        <v>0</v>
      </c>
      <c r="G25" s="146" t="s">
        <v>252</v>
      </c>
      <c r="H25" s="143">
        <v>80</v>
      </c>
      <c r="I25" s="164">
        <f>SUM(C25*80*2)</f>
        <v>0</v>
      </c>
      <c r="J25" s="146" t="s">
        <v>253</v>
      </c>
      <c r="K25" s="165">
        <f t="shared" si="1"/>
        <v>0</v>
      </c>
    </row>
    <row r="26" spans="3:11">
      <c r="C26" s="163"/>
      <c r="D26" s="141" t="s">
        <v>259</v>
      </c>
      <c r="E26" s="142">
        <v>550</v>
      </c>
      <c r="F26" s="143">
        <f t="shared" si="0"/>
        <v>0</v>
      </c>
      <c r="G26" s="146" t="s">
        <v>252</v>
      </c>
      <c r="H26" s="143">
        <v>80</v>
      </c>
      <c r="I26" s="164">
        <f>SUM(C26*80*4)</f>
        <v>0</v>
      </c>
      <c r="J26" s="146" t="s">
        <v>253</v>
      </c>
      <c r="K26" s="165">
        <f t="shared" si="1"/>
        <v>0</v>
      </c>
    </row>
    <row r="27" spans="3:11">
      <c r="C27" s="163"/>
      <c r="D27" s="141" t="s">
        <v>260</v>
      </c>
      <c r="E27" s="142">
        <v>617.54999999999995</v>
      </c>
      <c r="F27" s="143">
        <f t="shared" si="0"/>
        <v>0</v>
      </c>
      <c r="G27" s="146" t="s">
        <v>252</v>
      </c>
      <c r="H27" s="143">
        <v>80</v>
      </c>
      <c r="I27" s="164">
        <f>SUM(C27*80*2)</f>
        <v>0</v>
      </c>
      <c r="J27" s="146" t="s">
        <v>253</v>
      </c>
      <c r="K27" s="165">
        <f t="shared" si="1"/>
        <v>0</v>
      </c>
    </row>
    <row r="28" spans="3:11">
      <c r="C28" s="163"/>
      <c r="D28" s="141" t="s">
        <v>261</v>
      </c>
      <c r="E28" s="142">
        <v>172.5</v>
      </c>
      <c r="F28" s="143">
        <f t="shared" si="0"/>
        <v>0</v>
      </c>
      <c r="G28" s="146" t="s">
        <v>252</v>
      </c>
      <c r="H28" s="143">
        <v>80</v>
      </c>
      <c r="I28" s="164">
        <f>SUM(C28*80*1.5)</f>
        <v>0</v>
      </c>
      <c r="J28" s="146" t="s">
        <v>253</v>
      </c>
      <c r="K28" s="165">
        <f t="shared" si="1"/>
        <v>0</v>
      </c>
    </row>
    <row r="29" spans="3:11">
      <c r="C29" s="163"/>
      <c r="D29" s="141" t="s">
        <v>262</v>
      </c>
      <c r="E29" s="142">
        <v>212.75</v>
      </c>
      <c r="F29" s="143">
        <f t="shared" ref="F29" si="2">+E29*C29</f>
        <v>0</v>
      </c>
      <c r="G29" s="146" t="s">
        <v>252</v>
      </c>
      <c r="H29" s="143">
        <v>80</v>
      </c>
      <c r="I29" s="164">
        <f>SUM(C29*80*2.5)</f>
        <v>0</v>
      </c>
      <c r="J29" s="146" t="s">
        <v>253</v>
      </c>
      <c r="K29" s="165">
        <f t="shared" ref="K29" si="3">F29+I29</f>
        <v>0</v>
      </c>
    </row>
    <row r="30" spans="3:11" ht="11.25" thickBot="1">
      <c r="C30" s="166"/>
      <c r="D30" s="148" t="s">
        <v>263</v>
      </c>
      <c r="E30" s="149">
        <v>150</v>
      </c>
      <c r="F30" s="150">
        <f t="shared" si="0"/>
        <v>0</v>
      </c>
      <c r="G30" s="153" t="s">
        <v>252</v>
      </c>
      <c r="H30" s="150">
        <v>0</v>
      </c>
      <c r="I30" s="167"/>
      <c r="J30" s="153" t="s">
        <v>253</v>
      </c>
      <c r="K30" s="168">
        <f t="shared" si="1"/>
        <v>0</v>
      </c>
    </row>
    <row r="31" spans="3:11" ht="11.25" thickBot="1">
      <c r="J31" s="169" t="s">
        <v>264</v>
      </c>
      <c r="K31" s="170">
        <f>SUM(K20:K30)</f>
        <v>0</v>
      </c>
    </row>
    <row r="33" spans="3:11" ht="11.25" thickBot="1">
      <c r="C33" s="108" t="s">
        <v>265</v>
      </c>
    </row>
    <row r="34" spans="3:11">
      <c r="C34" s="171"/>
      <c r="D34" s="172" t="s">
        <v>266</v>
      </c>
      <c r="E34" s="113">
        <v>300</v>
      </c>
      <c r="F34" s="112">
        <f>SUM(E34)*C34</f>
        <v>0</v>
      </c>
      <c r="G34" s="173" t="s">
        <v>179</v>
      </c>
      <c r="H34" s="113">
        <v>80</v>
      </c>
      <c r="I34" s="112">
        <f>SUM(C34)*80*2</f>
        <v>0</v>
      </c>
      <c r="J34" s="173" t="s">
        <v>180</v>
      </c>
      <c r="K34" s="174">
        <f>SUM(F34)+I34</f>
        <v>0</v>
      </c>
    </row>
    <row r="35" spans="3:11">
      <c r="C35" s="175"/>
      <c r="D35" s="176" t="s">
        <v>267</v>
      </c>
      <c r="E35" s="122">
        <v>400</v>
      </c>
      <c r="F35" s="120">
        <f t="shared" ref="F35:F50" si="4">SUM(E35)*C35</f>
        <v>0</v>
      </c>
      <c r="G35" s="128" t="s">
        <v>179</v>
      </c>
      <c r="H35" s="121">
        <v>80</v>
      </c>
      <c r="I35" s="120">
        <f t="shared" ref="I35:I51" si="5">SUM(C35)*80*2</f>
        <v>0</v>
      </c>
      <c r="J35" s="128" t="s">
        <v>180</v>
      </c>
      <c r="K35" s="177">
        <f t="shared" ref="K35:K50" si="6">SUM(F35)+I35</f>
        <v>0</v>
      </c>
    </row>
    <row r="36" spans="3:11">
      <c r="C36" s="163"/>
      <c r="D36" s="141" t="s">
        <v>268</v>
      </c>
      <c r="E36" s="142">
        <v>500</v>
      </c>
      <c r="F36" s="120">
        <f t="shared" si="4"/>
        <v>0</v>
      </c>
      <c r="G36" s="128" t="s">
        <v>179</v>
      </c>
      <c r="H36" s="121">
        <v>80</v>
      </c>
      <c r="I36" s="120">
        <f t="shared" si="5"/>
        <v>0</v>
      </c>
      <c r="J36" s="128" t="s">
        <v>180</v>
      </c>
      <c r="K36" s="177">
        <f t="shared" si="6"/>
        <v>0</v>
      </c>
    </row>
    <row r="37" spans="3:11">
      <c r="C37" s="163"/>
      <c r="D37" s="141" t="s">
        <v>269</v>
      </c>
      <c r="E37" s="142">
        <v>650</v>
      </c>
      <c r="F37" s="120">
        <f t="shared" si="4"/>
        <v>0</v>
      </c>
      <c r="G37" s="128" t="s">
        <v>179</v>
      </c>
      <c r="H37" s="121">
        <v>80</v>
      </c>
      <c r="I37" s="120">
        <f t="shared" si="5"/>
        <v>0</v>
      </c>
      <c r="J37" s="128" t="s">
        <v>180</v>
      </c>
      <c r="K37" s="177">
        <f t="shared" si="6"/>
        <v>0</v>
      </c>
    </row>
    <row r="38" spans="3:11">
      <c r="C38" s="163"/>
      <c r="D38" s="141" t="s">
        <v>270</v>
      </c>
      <c r="E38" s="142">
        <v>850</v>
      </c>
      <c r="F38" s="120">
        <f t="shared" si="4"/>
        <v>0</v>
      </c>
      <c r="G38" s="128" t="s">
        <v>179</v>
      </c>
      <c r="H38" s="121">
        <v>80</v>
      </c>
      <c r="I38" s="120">
        <f t="shared" si="5"/>
        <v>0</v>
      </c>
      <c r="J38" s="128" t="s">
        <v>180</v>
      </c>
      <c r="K38" s="177">
        <f t="shared" si="6"/>
        <v>0</v>
      </c>
    </row>
    <row r="39" spans="3:11">
      <c r="C39" s="163"/>
      <c r="D39" s="141" t="s">
        <v>271</v>
      </c>
      <c r="E39" s="142">
        <v>950</v>
      </c>
      <c r="F39" s="120">
        <f t="shared" si="4"/>
        <v>0</v>
      </c>
      <c r="G39" s="128" t="s">
        <v>179</v>
      </c>
      <c r="H39" s="121">
        <v>80</v>
      </c>
      <c r="I39" s="120">
        <f t="shared" si="5"/>
        <v>0</v>
      </c>
      <c r="J39" s="128" t="s">
        <v>180</v>
      </c>
      <c r="K39" s="177">
        <f t="shared" si="6"/>
        <v>0</v>
      </c>
    </row>
    <row r="40" spans="3:11">
      <c r="C40" s="178"/>
      <c r="D40" s="120" t="s">
        <v>272</v>
      </c>
      <c r="E40" s="121">
        <v>1225</v>
      </c>
      <c r="F40" s="120">
        <f t="shared" si="4"/>
        <v>0</v>
      </c>
      <c r="G40" s="128" t="s">
        <v>179</v>
      </c>
      <c r="H40" s="121">
        <v>80</v>
      </c>
      <c r="I40" s="120">
        <f t="shared" si="5"/>
        <v>0</v>
      </c>
      <c r="J40" s="128" t="s">
        <v>180</v>
      </c>
      <c r="K40" s="177">
        <f t="shared" si="6"/>
        <v>0</v>
      </c>
    </row>
    <row r="41" spans="3:11">
      <c r="C41" s="178"/>
      <c r="D41" s="120" t="s">
        <v>273</v>
      </c>
      <c r="E41" s="121">
        <v>1177.6099999999999</v>
      </c>
      <c r="F41" s="120">
        <f t="shared" si="4"/>
        <v>0</v>
      </c>
      <c r="G41" s="128" t="s">
        <v>179</v>
      </c>
      <c r="H41" s="121">
        <v>80</v>
      </c>
      <c r="I41" s="120">
        <f t="shared" si="5"/>
        <v>0</v>
      </c>
      <c r="J41" s="128" t="s">
        <v>180</v>
      </c>
      <c r="K41" s="177">
        <f t="shared" si="6"/>
        <v>0</v>
      </c>
    </row>
    <row r="42" spans="3:11">
      <c r="C42" s="178"/>
      <c r="D42" s="120" t="s">
        <v>274</v>
      </c>
      <c r="E42" s="121">
        <v>650</v>
      </c>
      <c r="F42" s="120">
        <f t="shared" si="4"/>
        <v>0</v>
      </c>
      <c r="G42" s="128" t="s">
        <v>179</v>
      </c>
      <c r="H42" s="121">
        <v>80</v>
      </c>
      <c r="I42" s="120">
        <f t="shared" si="5"/>
        <v>0</v>
      </c>
      <c r="J42" s="128" t="s">
        <v>180</v>
      </c>
      <c r="K42" s="177">
        <f t="shared" si="6"/>
        <v>0</v>
      </c>
    </row>
    <row r="43" spans="3:11">
      <c r="C43" s="178"/>
      <c r="D43" s="120" t="s">
        <v>275</v>
      </c>
      <c r="E43" s="121">
        <v>850</v>
      </c>
      <c r="F43" s="120">
        <f t="shared" si="4"/>
        <v>0</v>
      </c>
      <c r="G43" s="128" t="s">
        <v>179</v>
      </c>
      <c r="H43" s="121">
        <v>80</v>
      </c>
      <c r="I43" s="120">
        <f t="shared" si="5"/>
        <v>0</v>
      </c>
      <c r="J43" s="128" t="s">
        <v>180</v>
      </c>
      <c r="K43" s="177">
        <f t="shared" si="6"/>
        <v>0</v>
      </c>
    </row>
    <row r="44" spans="3:11">
      <c r="C44" s="178"/>
      <c r="D44" s="120" t="s">
        <v>276</v>
      </c>
      <c r="E44" s="121">
        <v>925</v>
      </c>
      <c r="F44" s="120">
        <f t="shared" si="4"/>
        <v>0</v>
      </c>
      <c r="G44" s="128" t="s">
        <v>179</v>
      </c>
      <c r="H44" s="121">
        <v>80</v>
      </c>
      <c r="I44" s="120">
        <f t="shared" si="5"/>
        <v>0</v>
      </c>
      <c r="J44" s="128" t="s">
        <v>180</v>
      </c>
      <c r="K44" s="177">
        <f t="shared" si="6"/>
        <v>0</v>
      </c>
    </row>
    <row r="45" spans="3:11">
      <c r="C45" s="178"/>
      <c r="D45" s="120" t="s">
        <v>277</v>
      </c>
      <c r="E45" s="121">
        <v>1150</v>
      </c>
      <c r="F45" s="120">
        <f t="shared" si="4"/>
        <v>0</v>
      </c>
      <c r="G45" s="128" t="s">
        <v>179</v>
      </c>
      <c r="H45" s="121">
        <v>80</v>
      </c>
      <c r="I45" s="120">
        <f t="shared" si="5"/>
        <v>0</v>
      </c>
      <c r="J45" s="128" t="s">
        <v>180</v>
      </c>
      <c r="K45" s="177">
        <f t="shared" si="6"/>
        <v>0</v>
      </c>
    </row>
    <row r="46" spans="3:11">
      <c r="C46" s="178"/>
      <c r="D46" s="120" t="s">
        <v>278</v>
      </c>
      <c r="E46" s="121">
        <v>1450</v>
      </c>
      <c r="F46" s="120">
        <f t="shared" si="4"/>
        <v>0</v>
      </c>
      <c r="G46" s="128" t="s">
        <v>179</v>
      </c>
      <c r="H46" s="121">
        <v>80</v>
      </c>
      <c r="I46" s="120">
        <f t="shared" si="5"/>
        <v>0</v>
      </c>
      <c r="J46" s="128" t="s">
        <v>180</v>
      </c>
      <c r="K46" s="177">
        <f t="shared" si="6"/>
        <v>0</v>
      </c>
    </row>
    <row r="47" spans="3:11">
      <c r="C47" s="178"/>
      <c r="D47" s="120" t="s">
        <v>279</v>
      </c>
      <c r="E47" s="121">
        <v>405</v>
      </c>
      <c r="F47" s="120">
        <f t="shared" si="4"/>
        <v>0</v>
      </c>
      <c r="G47" s="128" t="s">
        <v>179</v>
      </c>
      <c r="H47" s="121">
        <v>80</v>
      </c>
      <c r="I47" s="120">
        <f t="shared" si="5"/>
        <v>0</v>
      </c>
      <c r="J47" s="128" t="s">
        <v>180</v>
      </c>
      <c r="K47" s="177">
        <f t="shared" si="6"/>
        <v>0</v>
      </c>
    </row>
    <row r="48" spans="3:11">
      <c r="C48" s="178"/>
      <c r="D48" s="120" t="s">
        <v>280</v>
      </c>
      <c r="E48" s="121">
        <v>605</v>
      </c>
      <c r="F48" s="120">
        <f t="shared" si="4"/>
        <v>0</v>
      </c>
      <c r="G48" s="128" t="s">
        <v>179</v>
      </c>
      <c r="H48" s="121">
        <v>80</v>
      </c>
      <c r="I48" s="120">
        <f t="shared" si="5"/>
        <v>0</v>
      </c>
      <c r="J48" s="128" t="s">
        <v>180</v>
      </c>
      <c r="K48" s="177">
        <f t="shared" si="6"/>
        <v>0</v>
      </c>
    </row>
    <row r="49" spans="3:11">
      <c r="C49" s="178"/>
      <c r="D49" s="120" t="s">
        <v>281</v>
      </c>
      <c r="E49" s="121">
        <v>680</v>
      </c>
      <c r="F49" s="120">
        <f t="shared" si="4"/>
        <v>0</v>
      </c>
      <c r="G49" s="128" t="s">
        <v>179</v>
      </c>
      <c r="H49" s="121">
        <v>80</v>
      </c>
      <c r="I49" s="120">
        <f t="shared" si="5"/>
        <v>0</v>
      </c>
      <c r="J49" s="128" t="s">
        <v>180</v>
      </c>
      <c r="K49" s="177">
        <f t="shared" si="6"/>
        <v>0</v>
      </c>
    </row>
    <row r="50" spans="3:11">
      <c r="C50" s="178"/>
      <c r="D50" s="120" t="s">
        <v>282</v>
      </c>
      <c r="E50" s="121">
        <v>905</v>
      </c>
      <c r="F50" s="120">
        <f t="shared" si="4"/>
        <v>0</v>
      </c>
      <c r="G50" s="128" t="s">
        <v>179</v>
      </c>
      <c r="H50" s="121">
        <v>80</v>
      </c>
      <c r="I50" s="120">
        <f t="shared" si="5"/>
        <v>0</v>
      </c>
      <c r="J50" s="128" t="s">
        <v>180</v>
      </c>
      <c r="K50" s="177">
        <f t="shared" si="6"/>
        <v>0</v>
      </c>
    </row>
    <row r="51" spans="3:11">
      <c r="C51" s="178"/>
      <c r="D51" s="120" t="s">
        <v>283</v>
      </c>
      <c r="E51" s="121">
        <v>1205</v>
      </c>
      <c r="F51" s="120">
        <f>SUM(E51)*C51</f>
        <v>0</v>
      </c>
      <c r="G51" s="128" t="s">
        <v>179</v>
      </c>
      <c r="H51" s="121">
        <v>80</v>
      </c>
      <c r="I51" s="120">
        <f t="shared" si="5"/>
        <v>0</v>
      </c>
      <c r="J51" s="128" t="s">
        <v>180</v>
      </c>
      <c r="K51" s="177">
        <f>SUM(F51)+I51</f>
        <v>0</v>
      </c>
    </row>
    <row r="52" spans="3:11" ht="11.25" thickBot="1">
      <c r="C52" s="179"/>
      <c r="D52" s="130" t="s">
        <v>284</v>
      </c>
      <c r="E52" s="131">
        <v>120</v>
      </c>
      <c r="F52" s="130">
        <f>SUM(E52)*C52</f>
        <v>0</v>
      </c>
      <c r="G52" s="133" t="s">
        <v>179</v>
      </c>
      <c r="H52" s="131">
        <v>80</v>
      </c>
      <c r="I52" s="130">
        <f>SUM(C52)*80*1</f>
        <v>0</v>
      </c>
      <c r="J52" s="133" t="s">
        <v>180</v>
      </c>
      <c r="K52" s="180">
        <f>SUM(F52)+I52</f>
        <v>0</v>
      </c>
    </row>
    <row r="53" spans="3:11" ht="11.25" thickBot="1">
      <c r="J53" s="169" t="s">
        <v>264</v>
      </c>
      <c r="K53" s="181">
        <f>SUM(K34:K52)</f>
        <v>0</v>
      </c>
    </row>
    <row r="55" spans="3:11" ht="11.25" thickBot="1">
      <c r="C55" s="108" t="s">
        <v>285</v>
      </c>
    </row>
    <row r="56" spans="3:11">
      <c r="C56" s="171"/>
      <c r="D56" s="112" t="s">
        <v>286</v>
      </c>
      <c r="E56" s="113">
        <v>170</v>
      </c>
      <c r="F56" s="112">
        <f>+(E56)*C56</f>
        <v>0</v>
      </c>
      <c r="G56" s="173" t="s">
        <v>179</v>
      </c>
      <c r="H56" s="113">
        <v>80</v>
      </c>
      <c r="I56" s="112">
        <f>SUM(C56*80*1)</f>
        <v>0</v>
      </c>
      <c r="J56" s="173" t="s">
        <v>180</v>
      </c>
      <c r="K56" s="174">
        <f>SUM(F56)+I56</f>
        <v>0</v>
      </c>
    </row>
    <row r="57" spans="3:11" ht="11.25" thickBot="1">
      <c r="C57" s="179"/>
      <c r="D57" s="130" t="s">
        <v>287</v>
      </c>
      <c r="E57" s="131">
        <v>250</v>
      </c>
      <c r="F57" s="130">
        <f>+(E57)*C57</f>
        <v>0</v>
      </c>
      <c r="G57" s="133" t="s">
        <v>179</v>
      </c>
      <c r="H57" s="131">
        <v>80</v>
      </c>
      <c r="I57" s="130">
        <f>SUM(C57*80*1)</f>
        <v>0</v>
      </c>
      <c r="J57" s="133" t="s">
        <v>180</v>
      </c>
      <c r="K57" s="180">
        <f>SUM(F57)+I57</f>
        <v>0</v>
      </c>
    </row>
    <row r="58" spans="3:11" ht="11.25" thickBot="1">
      <c r="J58" s="169" t="s">
        <v>264</v>
      </c>
      <c r="K58" s="181">
        <f>SUM(K56:K57)</f>
        <v>0</v>
      </c>
    </row>
    <row r="63" spans="3:11">
      <c r="C63" s="108" t="s">
        <v>197</v>
      </c>
    </row>
  </sheetData>
  <sheetProtection password="CC5F" sheet="1" objects="1" scenarios="1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Grizli777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jorman</dc:creator>
  <cp:keywords/>
  <dc:description/>
  <cp:lastModifiedBy/>
  <cp:revision/>
  <dcterms:created xsi:type="dcterms:W3CDTF">2013-04-11T20:55:34Z</dcterms:created>
  <dcterms:modified xsi:type="dcterms:W3CDTF">2026-05-22T18:39:10Z</dcterms:modified>
  <cp:category/>
  <cp:contentStatus/>
</cp:coreProperties>
</file>