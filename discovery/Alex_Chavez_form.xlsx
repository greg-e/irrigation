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brightviewcloud-my.sharepoint.com/personal/cody_wallace_brightview_com/Documents/42030 Santa Clara Branch/Irrigation/Accounts/"/>
    </mc:Choice>
  </mc:AlternateContent>
  <xr:revisionPtr revIDLastSave="10" documentId="8_{C6E7AA13-5B39-4A9B-8445-2171423C25A4}" xr6:coauthVersionLast="36" xr6:coauthVersionMax="36" xr10:uidLastSave="{42B53F17-732D-4D9B-81A9-A21E93BB300D}"/>
  <bookViews>
    <workbookView xWindow="0" yWindow="0" windowWidth="28800" windowHeight="11805" xr2:uid="{00000000-000D-0000-FFFF-FFFF00000000}"/>
  </bookViews>
  <sheets>
    <sheet name="Summary" sheetId="1" r:id="rId1"/>
    <sheet name="Controller A" sheetId="2" r:id="rId2"/>
    <sheet name="Controller B" sheetId="3" r:id="rId3"/>
    <sheet name="Controller C" sheetId="4" r:id="rId4"/>
    <sheet name="Controller D" sheetId="5" r:id="rId5"/>
    <sheet name="Controller E" sheetId="6" r:id="rId6"/>
    <sheet name="Sheet3" sheetId="7" state="hidden" r:id="rId7"/>
  </sheets>
  <calcPr calcId="191029"/>
</workbook>
</file>

<file path=xl/calcChain.xml><?xml version="1.0" encoding="utf-8"?>
<calcChain xmlns="http://schemas.openxmlformats.org/spreadsheetml/2006/main">
  <c r="AR63" i="6" l="1"/>
  <c r="AU63" i="6" s="1"/>
  <c r="AR62" i="6"/>
  <c r="AU62" i="6" s="1"/>
  <c r="AR61" i="6"/>
  <c r="AU61" i="6" s="1"/>
  <c r="AR60" i="6"/>
  <c r="AU60" i="6" s="1"/>
  <c r="AU59" i="6"/>
  <c r="AR59" i="6"/>
  <c r="AR58" i="6"/>
  <c r="AU58" i="6" s="1"/>
  <c r="AR57" i="6"/>
  <c r="AU57" i="6" s="1"/>
  <c r="AR56" i="6"/>
  <c r="AU56" i="6" s="1"/>
  <c r="AR55" i="6"/>
  <c r="AU55" i="6" s="1"/>
  <c r="AR54" i="6"/>
  <c r="AU54" i="6" s="1"/>
  <c r="AR53" i="6"/>
  <c r="AU53" i="6" s="1"/>
  <c r="AR52" i="6"/>
  <c r="AU52" i="6" s="1"/>
  <c r="AR50" i="6"/>
  <c r="AT50" i="6" s="1"/>
  <c r="AR49" i="6"/>
  <c r="AT49" i="6" s="1"/>
  <c r="AR48" i="6"/>
  <c r="AT48" i="6" s="1"/>
  <c r="AR47" i="6"/>
  <c r="AT47" i="6" s="1"/>
  <c r="AT46" i="6"/>
  <c r="AR46" i="6"/>
  <c r="AR45" i="6"/>
  <c r="AT45" i="6" s="1"/>
  <c r="AR44" i="6"/>
  <c r="AT44" i="6" s="1"/>
  <c r="AR43" i="6"/>
  <c r="AT43" i="6" s="1"/>
  <c r="AR42" i="6"/>
  <c r="AT42" i="6" s="1"/>
  <c r="AR41" i="6"/>
  <c r="AT41" i="6" s="1"/>
  <c r="AT40" i="6"/>
  <c r="AR40" i="6"/>
  <c r="AR39" i="6"/>
  <c r="AT39" i="6" s="1"/>
  <c r="AR38" i="6"/>
  <c r="AT38" i="6" s="1"/>
  <c r="AR37" i="6"/>
  <c r="AT37" i="6" s="1"/>
  <c r="AR36" i="6"/>
  <c r="AT36" i="6" s="1"/>
  <c r="AT35" i="6"/>
  <c r="AR35" i="6"/>
  <c r="AR34" i="6"/>
  <c r="AT34" i="6" s="1"/>
  <c r="AR33" i="6"/>
  <c r="AT33" i="6" s="1"/>
  <c r="AR32" i="6"/>
  <c r="AT32" i="6" s="1"/>
  <c r="AR31" i="6"/>
  <c r="AT31" i="6" s="1"/>
  <c r="AR30" i="6"/>
  <c r="AT30" i="6" s="1"/>
  <c r="AT29" i="6"/>
  <c r="AR29" i="6"/>
  <c r="AR28" i="6"/>
  <c r="AT28" i="6" s="1"/>
  <c r="AR27" i="6"/>
  <c r="AT27" i="6" s="1"/>
  <c r="AR26" i="6"/>
  <c r="AT26" i="6" s="1"/>
  <c r="AR25" i="6"/>
  <c r="AT25" i="6" s="1"/>
  <c r="AR24" i="6"/>
  <c r="AT24" i="6" s="1"/>
  <c r="AR23" i="6"/>
  <c r="AT23" i="6" s="1"/>
  <c r="AR22" i="6"/>
  <c r="AT22" i="6" s="1"/>
  <c r="AR21" i="6"/>
  <c r="AT21" i="6" s="1"/>
  <c r="AR20" i="6"/>
  <c r="AT20" i="6" s="1"/>
  <c r="AR19" i="6"/>
  <c r="AT19" i="6" s="1"/>
  <c r="AR18" i="6"/>
  <c r="AT18" i="6" s="1"/>
  <c r="AR17" i="6"/>
  <c r="AT17" i="6" s="1"/>
  <c r="AT16" i="6"/>
  <c r="AR16" i="6"/>
  <c r="AR63" i="5"/>
  <c r="AU63" i="5" s="1"/>
  <c r="AR62" i="5"/>
  <c r="AU62" i="5" s="1"/>
  <c r="AR61" i="5"/>
  <c r="AU61" i="5" s="1"/>
  <c r="AU60" i="5"/>
  <c r="AR60" i="5"/>
  <c r="AR59" i="5"/>
  <c r="AU59" i="5" s="1"/>
  <c r="AU58" i="5"/>
  <c r="AR58" i="5"/>
  <c r="AR57" i="5"/>
  <c r="AU57" i="5" s="1"/>
  <c r="AR56" i="5"/>
  <c r="AU56" i="5" s="1"/>
  <c r="AR55" i="5"/>
  <c r="AU55" i="5" s="1"/>
  <c r="AU54" i="5"/>
  <c r="AR54" i="5"/>
  <c r="AR53" i="5"/>
  <c r="AU53" i="5" s="1"/>
  <c r="AU52" i="5"/>
  <c r="AR52" i="5"/>
  <c r="AR50" i="5"/>
  <c r="AT50" i="5" s="1"/>
  <c r="AR49" i="5"/>
  <c r="AT49" i="5" s="1"/>
  <c r="AR48" i="5"/>
  <c r="AT48" i="5" s="1"/>
  <c r="AR47" i="5"/>
  <c r="AT47" i="5" s="1"/>
  <c r="AR46" i="5"/>
  <c r="AT46" i="5" s="1"/>
  <c r="AT45" i="5"/>
  <c r="AR45" i="5"/>
  <c r="AR44" i="5"/>
  <c r="AT44" i="5" s="1"/>
  <c r="AR43" i="5"/>
  <c r="AT43" i="5" s="1"/>
  <c r="AR42" i="5"/>
  <c r="AT42" i="5" s="1"/>
  <c r="AR41" i="5"/>
  <c r="AT41" i="5" s="1"/>
  <c r="AT40" i="5"/>
  <c r="AR40" i="5"/>
  <c r="AT39" i="5"/>
  <c r="AR39" i="5"/>
  <c r="AR38" i="5"/>
  <c r="AT38" i="5" s="1"/>
  <c r="AR37" i="5"/>
  <c r="AT37" i="5" s="1"/>
  <c r="AR36" i="5"/>
  <c r="AT36" i="5" s="1"/>
  <c r="AT35" i="5"/>
  <c r="AR35" i="5"/>
  <c r="AR34" i="5"/>
  <c r="AT34" i="5" s="1"/>
  <c r="AT33" i="5"/>
  <c r="AR33" i="5"/>
  <c r="AR32" i="5"/>
  <c r="AT32" i="5" s="1"/>
  <c r="AR31" i="5"/>
  <c r="AT31" i="5" s="1"/>
  <c r="AR30" i="5"/>
  <c r="AT30" i="5" s="1"/>
  <c r="AT29" i="5"/>
  <c r="AR29" i="5"/>
  <c r="AR28" i="5"/>
  <c r="AT28" i="5" s="1"/>
  <c r="AT27" i="5"/>
  <c r="AR27" i="5"/>
  <c r="AR26" i="5"/>
  <c r="AT26" i="5" s="1"/>
  <c r="AR25" i="5"/>
  <c r="AT25" i="5" s="1"/>
  <c r="AR24" i="5"/>
  <c r="AT24" i="5" s="1"/>
  <c r="AR23" i="5"/>
  <c r="AT23" i="5" s="1"/>
  <c r="AR22" i="5"/>
  <c r="AT22" i="5" s="1"/>
  <c r="AT21" i="5"/>
  <c r="AR21" i="5"/>
  <c r="AR20" i="5"/>
  <c r="AT20" i="5" s="1"/>
  <c r="AR19" i="5"/>
  <c r="AT19" i="5" s="1"/>
  <c r="AR18" i="5"/>
  <c r="AT18" i="5" s="1"/>
  <c r="AR17" i="5"/>
  <c r="AT17" i="5" s="1"/>
  <c r="AT16" i="5"/>
  <c r="AR16" i="5"/>
  <c r="AR63" i="4"/>
  <c r="AU63" i="4" s="1"/>
  <c r="AR62" i="4"/>
  <c r="AU62" i="4" s="1"/>
  <c r="AR61" i="4"/>
  <c r="AU61" i="4" s="1"/>
  <c r="AU60" i="4"/>
  <c r="AR60" i="4"/>
  <c r="AR59" i="4"/>
  <c r="AU59" i="4" s="1"/>
  <c r="AR58" i="4"/>
  <c r="AU58" i="4" s="1"/>
  <c r="AR57" i="4"/>
  <c r="AU57" i="4" s="1"/>
  <c r="AR56" i="4"/>
  <c r="AU56" i="4" s="1"/>
  <c r="AR55" i="4"/>
  <c r="AU55" i="4" s="1"/>
  <c r="AU54" i="4"/>
  <c r="AR54" i="4"/>
  <c r="AR53" i="4"/>
  <c r="AU53" i="4" s="1"/>
  <c r="AR52" i="4"/>
  <c r="AU52" i="4" s="1"/>
  <c r="AR50" i="4"/>
  <c r="AT50" i="4" s="1"/>
  <c r="AR49" i="4"/>
  <c r="AT49" i="4" s="1"/>
  <c r="AR48" i="4"/>
  <c r="AT48" i="4" s="1"/>
  <c r="AR47" i="4"/>
  <c r="AT47" i="4" s="1"/>
  <c r="AR46" i="4"/>
  <c r="AT46" i="4" s="1"/>
  <c r="AR45" i="4"/>
  <c r="AT45" i="4" s="1"/>
  <c r="AR44" i="4"/>
  <c r="AT44" i="4" s="1"/>
  <c r="AR43" i="4"/>
  <c r="AT43" i="4" s="1"/>
  <c r="AR42" i="4"/>
  <c r="AT42" i="4" s="1"/>
  <c r="AR41" i="4"/>
  <c r="AT41" i="4" s="1"/>
  <c r="AT40" i="4"/>
  <c r="AR40" i="4"/>
  <c r="AR39" i="4"/>
  <c r="AT39" i="4" s="1"/>
  <c r="AR38" i="4"/>
  <c r="AT38" i="4" s="1"/>
  <c r="AR37" i="4"/>
  <c r="AT37" i="4" s="1"/>
  <c r="AR36" i="4"/>
  <c r="AT36" i="4" s="1"/>
  <c r="AT35" i="4"/>
  <c r="AR35" i="4"/>
  <c r="AR34" i="4"/>
  <c r="AT34" i="4" s="1"/>
  <c r="AR33" i="4"/>
  <c r="AT33" i="4" s="1"/>
  <c r="AR32" i="4"/>
  <c r="AT32" i="4" s="1"/>
  <c r="AR31" i="4"/>
  <c r="AT31" i="4" s="1"/>
  <c r="AR30" i="4"/>
  <c r="AT30" i="4" s="1"/>
  <c r="AT29" i="4"/>
  <c r="AR29" i="4"/>
  <c r="AR28" i="4"/>
  <c r="AT28" i="4" s="1"/>
  <c r="AR27" i="4"/>
  <c r="AT27" i="4" s="1"/>
  <c r="AR26" i="4"/>
  <c r="AT26" i="4" s="1"/>
  <c r="AR25" i="4"/>
  <c r="AT25" i="4" s="1"/>
  <c r="AR24" i="4"/>
  <c r="AT24" i="4" s="1"/>
  <c r="AR23" i="4"/>
  <c r="AT23" i="4" s="1"/>
  <c r="AR22" i="4"/>
  <c r="AT22" i="4" s="1"/>
  <c r="AR21" i="4"/>
  <c r="AT21" i="4" s="1"/>
  <c r="AR20" i="4"/>
  <c r="AT20" i="4" s="1"/>
  <c r="AR19" i="4"/>
  <c r="AT19" i="4" s="1"/>
  <c r="AR18" i="4"/>
  <c r="AT18" i="4" s="1"/>
  <c r="AR17" i="4"/>
  <c r="AT17" i="4" s="1"/>
  <c r="AT16" i="4"/>
  <c r="AR16" i="4"/>
  <c r="AR63" i="3"/>
  <c r="AU63" i="3" s="1"/>
  <c r="AR62" i="3"/>
  <c r="AU62" i="3" s="1"/>
  <c r="AU61" i="3"/>
  <c r="AR61" i="3"/>
  <c r="AR60" i="3"/>
  <c r="AU60" i="3" s="1"/>
  <c r="AU59" i="3"/>
  <c r="AR59" i="3"/>
  <c r="AR58" i="3"/>
  <c r="AU58" i="3" s="1"/>
  <c r="AR57" i="3"/>
  <c r="AU57" i="3" s="1"/>
  <c r="AR56" i="3"/>
  <c r="AU56" i="3" s="1"/>
  <c r="AR55" i="3"/>
  <c r="AU55" i="3" s="1"/>
  <c r="AR54" i="3"/>
  <c r="AU54" i="3" s="1"/>
  <c r="AU53" i="3"/>
  <c r="AR53" i="3"/>
  <c r="AR52" i="3"/>
  <c r="AU52" i="3" s="1"/>
  <c r="AR50" i="3"/>
  <c r="AT50" i="3" s="1"/>
  <c r="AR49" i="3"/>
  <c r="AT49" i="3" s="1"/>
  <c r="AR48" i="3"/>
  <c r="AT48" i="3" s="1"/>
  <c r="AT47" i="3"/>
  <c r="AR47" i="3"/>
  <c r="AT46" i="3"/>
  <c r="AR46" i="3"/>
  <c r="AR45" i="3"/>
  <c r="AT45" i="3" s="1"/>
  <c r="AR44" i="3"/>
  <c r="AT44" i="3" s="1"/>
  <c r="AR43" i="3"/>
  <c r="AT43" i="3" s="1"/>
  <c r="AT42" i="3"/>
  <c r="AR42" i="3"/>
  <c r="AR41" i="3"/>
  <c r="AT41" i="3" s="1"/>
  <c r="AT40" i="3"/>
  <c r="AR40" i="3"/>
  <c r="AR39" i="3"/>
  <c r="AT39" i="3" s="1"/>
  <c r="AR38" i="3"/>
  <c r="AT38" i="3" s="1"/>
  <c r="AR37" i="3"/>
  <c r="AT37" i="3" s="1"/>
  <c r="AT36" i="3"/>
  <c r="AR36" i="3"/>
  <c r="AR35" i="3"/>
  <c r="AT35" i="3" s="1"/>
  <c r="AT34" i="3"/>
  <c r="AR34" i="3"/>
  <c r="AR33" i="3"/>
  <c r="AT33" i="3" s="1"/>
  <c r="AR32" i="3"/>
  <c r="AT32" i="3" s="1"/>
  <c r="AR31" i="3"/>
  <c r="AT31" i="3" s="1"/>
  <c r="AR30" i="3"/>
  <c r="AT30" i="3" s="1"/>
  <c r="AR29" i="3"/>
  <c r="AT29" i="3" s="1"/>
  <c r="AT28" i="3"/>
  <c r="AR28" i="3"/>
  <c r="AR27" i="3"/>
  <c r="AT27" i="3" s="1"/>
  <c r="AR26" i="3"/>
  <c r="AT26" i="3" s="1"/>
  <c r="AR25" i="3"/>
  <c r="AT25" i="3" s="1"/>
  <c r="AR24" i="3"/>
  <c r="AT24" i="3" s="1"/>
  <c r="AT23" i="3"/>
  <c r="AR23" i="3"/>
  <c r="AT22" i="3"/>
  <c r="AR22" i="3"/>
  <c r="AR21" i="3"/>
  <c r="AT21" i="3" s="1"/>
  <c r="AR20" i="3"/>
  <c r="AT20" i="3" s="1"/>
  <c r="AR19" i="3"/>
  <c r="AT19" i="3" s="1"/>
  <c r="AT18" i="3"/>
  <c r="AR18" i="3"/>
  <c r="AR17" i="3"/>
  <c r="AT17" i="3" s="1"/>
  <c r="AT16" i="3"/>
  <c r="AR16" i="3"/>
  <c r="AR63" i="2"/>
  <c r="AU63" i="2" s="1"/>
  <c r="AR62" i="2"/>
  <c r="AU62" i="2" s="1"/>
  <c r="AU61" i="2"/>
  <c r="AR61" i="2"/>
  <c r="AR60" i="2"/>
  <c r="AU60" i="2" s="1"/>
  <c r="AR59" i="2"/>
  <c r="AU59" i="2" s="1"/>
  <c r="AR58" i="2"/>
  <c r="AU58" i="2" s="1"/>
  <c r="AR57" i="2"/>
  <c r="AU57" i="2" s="1"/>
  <c r="AR56" i="2"/>
  <c r="AU56" i="2" s="1"/>
  <c r="AR55" i="2"/>
  <c r="AU55" i="2" s="1"/>
  <c r="AR54" i="2"/>
  <c r="AU54" i="2" s="1"/>
  <c r="AR53" i="2"/>
  <c r="AU53" i="2" s="1"/>
  <c r="AR52" i="2"/>
  <c r="AU52" i="2" s="1"/>
  <c r="AR50" i="2"/>
  <c r="AT50" i="2" s="1"/>
  <c r="AR49" i="2"/>
  <c r="AT49" i="2" s="1"/>
  <c r="AR48" i="2"/>
  <c r="AT48" i="2" s="1"/>
  <c r="AT47" i="2"/>
  <c r="AR47" i="2"/>
  <c r="AR46" i="2"/>
  <c r="AT46" i="2" s="1"/>
  <c r="AR45" i="2"/>
  <c r="AT45" i="2" s="1"/>
  <c r="AR44" i="2"/>
  <c r="AT44" i="2" s="1"/>
  <c r="AR43" i="2"/>
  <c r="AT43" i="2" s="1"/>
  <c r="AT42" i="2"/>
  <c r="AR42" i="2"/>
  <c r="AR41" i="2"/>
  <c r="AT41" i="2" s="1"/>
  <c r="AR40" i="2"/>
  <c r="AT40" i="2" s="1"/>
  <c r="AR39" i="2"/>
  <c r="AT39" i="2" s="1"/>
  <c r="AR38" i="2"/>
  <c r="AT38" i="2" s="1"/>
  <c r="AR37" i="2"/>
  <c r="AT37" i="2" s="1"/>
  <c r="AT36" i="2"/>
  <c r="AR36" i="2"/>
  <c r="AR35" i="2"/>
  <c r="AT35" i="2" s="1"/>
  <c r="AR34" i="2"/>
  <c r="AT34" i="2" s="1"/>
  <c r="AR33" i="2"/>
  <c r="AT33" i="2" s="1"/>
  <c r="AR32" i="2"/>
  <c r="AT32" i="2" s="1"/>
  <c r="AR31" i="2"/>
  <c r="AT31" i="2" s="1"/>
  <c r="AR30" i="2"/>
  <c r="AT30" i="2" s="1"/>
  <c r="AR29" i="2"/>
  <c r="AT29" i="2" s="1"/>
  <c r="AR28" i="2"/>
  <c r="AT28" i="2" s="1"/>
  <c r="AR27" i="2"/>
  <c r="AT27" i="2" s="1"/>
  <c r="AR26" i="2"/>
  <c r="AT26" i="2" s="1"/>
  <c r="AR25" i="2"/>
  <c r="AT25" i="2" s="1"/>
  <c r="AR24" i="2"/>
  <c r="AT24" i="2" s="1"/>
  <c r="AT23" i="2"/>
  <c r="AR23" i="2"/>
  <c r="AR22" i="2"/>
  <c r="AT22" i="2" s="1"/>
  <c r="AR21" i="2"/>
  <c r="AT21" i="2" s="1"/>
  <c r="AR20" i="2"/>
  <c r="AT20" i="2" s="1"/>
  <c r="AR19" i="2"/>
  <c r="AT19" i="2" s="1"/>
  <c r="AT18" i="2"/>
  <c r="AR18" i="2"/>
  <c r="AR17" i="2"/>
  <c r="AT17" i="2" s="1"/>
  <c r="AR16" i="2"/>
  <c r="AT16" i="2" s="1"/>
  <c r="AU66" i="5" l="1"/>
  <c r="E14" i="1" s="1"/>
  <c r="AT65" i="6"/>
  <c r="AU66" i="6"/>
  <c r="E15" i="1" s="1"/>
  <c r="AT65" i="4"/>
  <c r="AT65" i="5"/>
  <c r="AT65" i="2"/>
  <c r="AT65" i="3"/>
  <c r="AU66" i="4"/>
  <c r="E13" i="1" s="1"/>
  <c r="AU66" i="2"/>
  <c r="E11" i="1" s="1"/>
  <c r="E22" i="1" s="1"/>
  <c r="AU66" i="3"/>
  <c r="E12" i="1" s="1"/>
  <c r="AU68" i="3" l="1"/>
  <c r="C12" i="1"/>
  <c r="G12" i="1" s="1"/>
  <c r="AU68" i="2"/>
  <c r="C11" i="1"/>
  <c r="AU68" i="5"/>
  <c r="C14" i="1"/>
  <c r="G14" i="1" s="1"/>
  <c r="C13" i="1"/>
  <c r="G13" i="1" s="1"/>
  <c r="AU68" i="4"/>
  <c r="AU68" i="6"/>
  <c r="C15" i="1"/>
  <c r="G15" i="1" s="1"/>
  <c r="C22" i="1" l="1"/>
  <c r="G11" i="1"/>
  <c r="G22" i="1" s="1"/>
</calcChain>
</file>

<file path=xl/sharedStrings.xml><?xml version="1.0" encoding="utf-8"?>
<sst xmlns="http://schemas.openxmlformats.org/spreadsheetml/2006/main" count="620" uniqueCount="92">
  <si>
    <t>Irrigation Inspection Report Summary</t>
  </si>
  <si>
    <t>Site Name:</t>
  </si>
  <si>
    <t>intuitive # 109</t>
  </si>
  <si>
    <t>Irrigation Tech:</t>
  </si>
  <si>
    <t>Date:</t>
  </si>
  <si>
    <t>Controller ID</t>
  </si>
  <si>
    <t>Priority Repairs</t>
  </si>
  <si>
    <t xml:space="preserve">System Upgrades </t>
  </si>
  <si>
    <t>TOTAL</t>
  </si>
  <si>
    <t>A</t>
  </si>
  <si>
    <t>B</t>
  </si>
  <si>
    <t>c</t>
  </si>
  <si>
    <t>D</t>
  </si>
  <si>
    <t>F</t>
  </si>
  <si>
    <t>\</t>
  </si>
  <si>
    <t>Controller has remote harness:</t>
  </si>
  <si>
    <t>SITE NAME/ADDRESS:</t>
  </si>
  <si>
    <t>Controller has Map:</t>
  </si>
  <si>
    <t xml:space="preserve">       CONTROLLER NAME:</t>
  </si>
  <si>
    <t>node</t>
  </si>
  <si>
    <t>Water Type</t>
  </si>
  <si>
    <t>CONTROLLER SERIAL NUMBER:</t>
  </si>
  <si>
    <t>Backflow Spec</t>
  </si>
  <si>
    <t>CONTROLLER MAKE &amp; MODEL:</t>
  </si>
  <si>
    <t>Inspection Date:</t>
  </si>
  <si>
    <t xml:space="preserve">  </t>
  </si>
  <si>
    <t xml:space="preserve">     CONTROLLER LOCATION:</t>
  </si>
  <si>
    <t>Zone Description</t>
  </si>
  <si>
    <t>Plant Type</t>
  </si>
  <si>
    <t>Shrubs</t>
  </si>
  <si>
    <t>Turf</t>
  </si>
  <si>
    <t>TOTAL QTY.</t>
  </si>
  <si>
    <t>UNIT COST</t>
  </si>
  <si>
    <t>PRIORITY REPAIRS COST</t>
  </si>
  <si>
    <t>SYSTEM REPAIRS COST</t>
  </si>
  <si>
    <t>Device Type</t>
  </si>
  <si>
    <t>Spray Head</t>
  </si>
  <si>
    <t>Mix Rotor</t>
  </si>
  <si>
    <t>OHM Reading</t>
  </si>
  <si>
    <t>Stations</t>
  </si>
  <si>
    <t>HIGH PRIORITY REPAIRS</t>
  </si>
  <si>
    <t>Broken shrub riser</t>
  </si>
  <si>
    <t>.</t>
  </si>
  <si>
    <t>Broken bubblers (tree)</t>
  </si>
  <si>
    <t>Broken drip emitters, tubing, etc.</t>
  </si>
  <si>
    <t>Drip filter mesh (Large)</t>
  </si>
  <si>
    <t>Drip filter mesh (Small)</t>
  </si>
  <si>
    <t>Drip filter housing (Large)</t>
  </si>
  <si>
    <t>Drip filter housing (Small)</t>
  </si>
  <si>
    <t>Broken 4" pop-up w/ nozzle</t>
  </si>
  <si>
    <t>Broken 6" pop-up w/ nozzle</t>
  </si>
  <si>
    <t>Broken 12" pop-up w/ nozzle</t>
  </si>
  <si>
    <t>Broken 4" rotor</t>
  </si>
  <si>
    <t>Broken 12" pop-up rotor</t>
  </si>
  <si>
    <t xml:space="preserve">Replace spray nozzle </t>
  </si>
  <si>
    <t>Replace MP rotator nozzle</t>
  </si>
  <si>
    <t>Standard Main Line</t>
  </si>
  <si>
    <t>Complicated Main Line</t>
  </si>
  <si>
    <t>Broken Lateral</t>
  </si>
  <si>
    <t>Rootbound Lateral</t>
  </si>
  <si>
    <t>Valve repair - solenoid</t>
  </si>
  <si>
    <t>Trace broken valve wire</t>
  </si>
  <si>
    <t>Valve replacement - plastic 3/4"</t>
  </si>
  <si>
    <t>Valve replacement - plastic 1"</t>
  </si>
  <si>
    <t>Valve replacement - plastic 1.5"</t>
  </si>
  <si>
    <t>Valve replacement - plastic 2"</t>
  </si>
  <si>
    <t xml:space="preserve">Valve - Scrubber 1" </t>
  </si>
  <si>
    <t xml:space="preserve">Valve - Scrubber 1.5" </t>
  </si>
  <si>
    <t xml:space="preserve">Valve - Scrubber 2" </t>
  </si>
  <si>
    <t>Rootbound valve - labor</t>
  </si>
  <si>
    <t>Add / replace DBR-Y Wire Connector</t>
  </si>
  <si>
    <t>9V Battery for timer</t>
  </si>
  <si>
    <t>Valve Identification Tag</t>
  </si>
  <si>
    <t>Replace / Install union or ball valve</t>
  </si>
  <si>
    <t>Bronze gate valve 1.5"</t>
  </si>
  <si>
    <t>Bronze gate valve 2"</t>
  </si>
  <si>
    <t>Bronze gate valve 2.5"</t>
  </si>
  <si>
    <t>Quick coupler replacement 3/4"</t>
  </si>
  <si>
    <t>Standard rectangular valve box w/ gravel and grease packs - open area</t>
  </si>
  <si>
    <t>Jumbo rectangular valve box w/ gravel and grease packs - open area</t>
  </si>
  <si>
    <t>Rootbound valve box - labor</t>
  </si>
  <si>
    <t>Replace round 10" valve box</t>
  </si>
  <si>
    <t>Box Lid - Rectangular</t>
  </si>
  <si>
    <t>Box Lid - Round</t>
  </si>
  <si>
    <t>Trench to add sprinkler - open area</t>
  </si>
  <si>
    <t>Trench to add sprinkler - root area</t>
  </si>
  <si>
    <t>1 station battery timer</t>
  </si>
  <si>
    <t>Level and reset valve box</t>
  </si>
  <si>
    <t>Add-A-Zone</t>
  </si>
  <si>
    <t>REPAIRS TOTAL</t>
  </si>
  <si>
    <t>SYSTEM UPGRADE TOTAL</t>
  </si>
  <si>
    <t xml:space="preserve">TOTAL ESTIMATE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</si>
</sst>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mmmm\ yyyy"/>
    <numFmt numFmtId="165" formatCode="&quot;$&quot;#,##0"/>
  </numFmts>
  <fonts count="30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24"/>
      <color theme="1"/>
      <name val="Arial"/>
    </font>
    <font>
      <b/>
      <sz val="14"/>
      <color theme="1"/>
      <name val="Arial"/>
    </font>
    <font>
      <b/>
      <sz val="18"/>
      <color theme="1"/>
      <name val="Arial"/>
    </font>
    <font>
      <sz val="10"/>
      <name val="Arial"/>
    </font>
    <font>
      <sz val="18"/>
      <color theme="1"/>
      <name val="Arial"/>
    </font>
    <font>
      <b/>
      <sz val="12"/>
      <color theme="1"/>
      <name val="Arial"/>
    </font>
    <font>
      <sz val="14"/>
      <color theme="1"/>
      <name val="Arial"/>
    </font>
    <font>
      <sz val="10"/>
      <color theme="1"/>
      <name val="Arial"/>
    </font>
    <font>
      <b/>
      <sz val="48"/>
      <color theme="1"/>
      <name val="Arial"/>
    </font>
    <font>
      <b/>
      <sz val="22"/>
      <color theme="1"/>
      <name val="Arial"/>
    </font>
    <font>
      <b/>
      <sz val="21"/>
      <color theme="1"/>
      <name val="Arial"/>
    </font>
    <font>
      <sz val="25"/>
      <color theme="1"/>
      <name val="Arial"/>
    </font>
    <font>
      <b/>
      <sz val="26"/>
      <color theme="1"/>
      <name val="Arial"/>
    </font>
    <font>
      <b/>
      <sz val="25"/>
      <color theme="1"/>
      <name val="Arial"/>
    </font>
    <font>
      <b/>
      <sz val="26"/>
      <color theme="1"/>
      <name val="Times New Roman"/>
    </font>
    <font>
      <b/>
      <sz val="11"/>
      <color theme="1"/>
      <name val="Arial"/>
    </font>
    <font>
      <b/>
      <sz val="20"/>
      <color theme="1"/>
      <name val="Arial"/>
    </font>
    <font>
      <b/>
      <sz val="21"/>
      <color rgb="FFFFFFFF"/>
      <name val="Arial"/>
    </font>
    <font>
      <sz val="20"/>
      <color theme="1"/>
      <name val="Arial"/>
    </font>
    <font>
      <b/>
      <sz val="24"/>
      <color rgb="FFFFFFFF"/>
      <name val="Arial"/>
    </font>
    <font>
      <b/>
      <sz val="24"/>
      <color rgb="FF000000"/>
      <name val="Arial"/>
    </font>
    <font>
      <b/>
      <sz val="20"/>
      <color rgb="FFFFFFFF"/>
      <name val="Arial"/>
    </font>
    <font>
      <sz val="22"/>
      <color theme="1"/>
      <name val="Arial"/>
    </font>
    <font>
      <sz val="21"/>
      <color theme="1"/>
      <name val="Arial"/>
    </font>
    <font>
      <b/>
      <sz val="22"/>
      <color rgb="FFFFFFFF"/>
      <name val="Arial"/>
    </font>
    <font>
      <b/>
      <sz val="10"/>
      <color theme="1"/>
      <name val="Arial"/>
    </font>
    <font>
      <sz val="11"/>
      <color theme="1"/>
      <name val="Arial"/>
    </font>
    <font>
      <b/>
      <i/>
      <sz val="10"/>
      <color theme="1"/>
      <name val="Arial"/>
    </font>
  </fonts>
  <fills count="1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A7E73E"/>
        <bgColor rgb="FFA7E73E"/>
      </patternFill>
    </fill>
    <fill>
      <patternFill patternType="solid">
        <fgColor rgb="FF0000FF"/>
        <bgColor rgb="FF0000FF"/>
      </patternFill>
    </fill>
    <fill>
      <patternFill patternType="solid">
        <fgColor rgb="FFEFEFEF"/>
        <bgColor rgb="FFEFEFEF"/>
      </patternFill>
    </fill>
    <fill>
      <patternFill patternType="solid">
        <fgColor rgb="FFAAEB3F"/>
        <bgColor rgb="FFAAEB3F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3">
    <xf numFmtId="0" fontId="0" fillId="0" borderId="0" xfId="0" applyFont="1" applyAlignment="1"/>
    <xf numFmtId="10" fontId="1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164" fontId="1" fillId="4" borderId="3" xfId="0" applyNumberFormat="1" applyFont="1" applyFill="1" applyBorder="1" applyAlignment="1">
      <alignment vertical="center"/>
    </xf>
    <xf numFmtId="0" fontId="9" fillId="0" borderId="0" xfId="0" applyFont="1" applyAlignment="1"/>
    <xf numFmtId="0" fontId="13" fillId="0" borderId="0" xfId="0" applyFont="1" applyAlignment="1">
      <alignment horizontal="right"/>
    </xf>
    <xf numFmtId="0" fontId="14" fillId="0" borderId="0" xfId="0" applyFont="1" applyAlignment="1"/>
    <xf numFmtId="0" fontId="16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5" fillId="8" borderId="2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/>
    </xf>
    <xf numFmtId="0" fontId="21" fillId="12" borderId="2" xfId="0" applyFont="1" applyFill="1" applyBorder="1" applyAlignment="1">
      <alignment horizontal="center" vertical="center"/>
    </xf>
    <xf numFmtId="0" fontId="21" fillId="12" borderId="4" xfId="0" applyFont="1" applyFill="1" applyBorder="1" applyAlignment="1">
      <alignment horizontal="center" vertical="center"/>
    </xf>
    <xf numFmtId="0" fontId="21" fillId="12" borderId="3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top"/>
    </xf>
    <xf numFmtId="0" fontId="23" fillId="0" borderId="0" xfId="0" applyFont="1" applyAlignment="1">
      <alignment horizontal="center" vertical="top"/>
    </xf>
    <xf numFmtId="0" fontId="18" fillId="0" borderId="16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165" fontId="25" fillId="0" borderId="17" xfId="0" applyNumberFormat="1" applyFont="1" applyBorder="1" applyAlignment="1">
      <alignment horizontal="center" vertical="center"/>
    </xf>
    <xf numFmtId="42" fontId="24" fillId="0" borderId="17" xfId="0" applyNumberFormat="1" applyFont="1" applyBorder="1" applyAlignment="1">
      <alignment horizontal="center" vertical="center"/>
    </xf>
    <xf numFmtId="44" fontId="24" fillId="0" borderId="19" xfId="0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8" borderId="19" xfId="0" applyFont="1" applyFill="1" applyBorder="1" applyAlignment="1">
      <alignment horizontal="center" vertical="center"/>
    </xf>
    <xf numFmtId="0" fontId="24" fillId="8" borderId="19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8" borderId="19" xfId="0" applyFont="1" applyFill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165" fontId="24" fillId="0" borderId="18" xfId="0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2" borderId="19" xfId="0" applyFont="1" applyFill="1" applyBorder="1" applyAlignment="1">
      <alignment horizontal="center" vertical="center"/>
    </xf>
    <xf numFmtId="0" fontId="24" fillId="2" borderId="19" xfId="0" applyFont="1" applyFill="1" applyBorder="1" applyAlignment="1">
      <alignment horizontal="center" vertical="center"/>
    </xf>
    <xf numFmtId="0" fontId="25" fillId="13" borderId="19" xfId="0" applyFont="1" applyFill="1" applyBorder="1" applyAlignment="1">
      <alignment horizontal="center" vertical="center"/>
    </xf>
    <xf numFmtId="0" fontId="24" fillId="13" borderId="19" xfId="0" applyFont="1" applyFill="1" applyBorder="1" applyAlignment="1">
      <alignment horizontal="center" vertical="center"/>
    </xf>
    <xf numFmtId="0" fontId="25" fillId="6" borderId="19" xfId="0" applyFont="1" applyFill="1" applyBorder="1" applyAlignment="1">
      <alignment horizontal="center" vertical="center"/>
    </xf>
    <xf numFmtId="0" fontId="24" fillId="6" borderId="19" xfId="0" applyFont="1" applyFill="1" applyBorder="1" applyAlignment="1">
      <alignment horizontal="center" vertical="center"/>
    </xf>
    <xf numFmtId="0" fontId="24" fillId="6" borderId="19" xfId="0" applyFont="1" applyFill="1" applyBorder="1" applyAlignment="1">
      <alignment horizontal="center" vertical="center"/>
    </xf>
    <xf numFmtId="0" fontId="25" fillId="6" borderId="19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5" fillId="14" borderId="19" xfId="0" applyFont="1" applyFill="1" applyBorder="1" applyAlignment="1">
      <alignment horizontal="center" vertical="center"/>
    </xf>
    <xf numFmtId="0" fontId="24" fillId="14" borderId="19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25" fillId="8" borderId="19" xfId="0" applyFont="1" applyFill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165" fontId="24" fillId="0" borderId="17" xfId="0" applyNumberFormat="1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9" fillId="10" borderId="17" xfId="0" applyFont="1" applyFill="1" applyBorder="1" applyAlignment="1">
      <alignment horizontal="center" vertical="center"/>
    </xf>
    <xf numFmtId="0" fontId="26" fillId="10" borderId="4" xfId="0" applyFont="1" applyFill="1" applyBorder="1" applyAlignment="1">
      <alignment horizontal="center" vertical="center"/>
    </xf>
    <xf numFmtId="0" fontId="26" fillId="10" borderId="4" xfId="0" applyFont="1" applyFill="1" applyBorder="1" applyAlignment="1">
      <alignment horizontal="center" vertical="center"/>
    </xf>
    <xf numFmtId="0" fontId="26" fillId="10" borderId="18" xfId="0" applyFont="1" applyFill="1" applyBorder="1" applyAlignment="1">
      <alignment horizontal="center" vertical="center"/>
    </xf>
    <xf numFmtId="0" fontId="11" fillId="10" borderId="21" xfId="0" applyFont="1" applyFill="1" applyBorder="1" applyAlignment="1">
      <alignment vertical="center"/>
    </xf>
    <xf numFmtId="165" fontId="11" fillId="10" borderId="21" xfId="0" applyNumberFormat="1" applyFont="1" applyFill="1" applyBorder="1" applyAlignment="1">
      <alignment vertical="center"/>
    </xf>
    <xf numFmtId="0" fontId="26" fillId="10" borderId="22" xfId="0" applyFont="1" applyFill="1" applyBorder="1" applyAlignment="1">
      <alignment horizontal="center" vertical="center"/>
    </xf>
    <xf numFmtId="44" fontId="24" fillId="0" borderId="17" xfId="0" applyNumberFormat="1" applyFont="1" applyBorder="1" applyAlignment="1">
      <alignment horizontal="center" vertical="center"/>
    </xf>
    <xf numFmtId="42" fontId="24" fillId="0" borderId="19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1" fillId="0" borderId="23" xfId="0" applyFont="1" applyBorder="1" applyAlignment="1">
      <alignment horizontal="center"/>
    </xf>
    <xf numFmtId="165" fontId="26" fillId="15" borderId="26" xfId="0" applyNumberFormat="1" applyFont="1" applyFill="1" applyBorder="1" applyAlignment="1">
      <alignment horizontal="center"/>
    </xf>
    <xf numFmtId="165" fontId="26" fillId="0" borderId="27" xfId="0" applyNumberFormat="1" applyFont="1" applyBorder="1" applyAlignment="1">
      <alignment horizontal="center"/>
    </xf>
    <xf numFmtId="0" fontId="12" fillId="0" borderId="23" xfId="0" applyFont="1" applyBorder="1" applyAlignment="1">
      <alignment horizontal="right"/>
    </xf>
    <xf numFmtId="165" fontId="26" fillId="0" borderId="23" xfId="0" applyNumberFormat="1" applyFont="1" applyBorder="1" applyAlignment="1">
      <alignment horizontal="center"/>
    </xf>
    <xf numFmtId="165" fontId="26" fillId="10" borderId="27" xfId="0" applyNumberFormat="1" applyFont="1" applyFill="1" applyBorder="1" applyAlignment="1">
      <alignment horizontal="center"/>
    </xf>
    <xf numFmtId="0" fontId="11" fillId="0" borderId="23" xfId="0" applyFont="1" applyBorder="1" applyAlignment="1">
      <alignment horizontal="right"/>
    </xf>
    <xf numFmtId="0" fontId="11" fillId="0" borderId="28" xfId="0" applyFont="1" applyBorder="1" applyAlignment="1">
      <alignment horizontal="right"/>
    </xf>
    <xf numFmtId="0" fontId="11" fillId="0" borderId="25" xfId="0" applyFont="1" applyBorder="1" applyAlignment="1">
      <alignment horizontal="right"/>
    </xf>
    <xf numFmtId="0" fontId="11" fillId="0" borderId="24" xfId="0" applyFont="1" applyBorder="1" applyAlignment="1">
      <alignment horizontal="center"/>
    </xf>
    <xf numFmtId="0" fontId="12" fillId="16" borderId="23" xfId="0" applyFont="1" applyFill="1" applyBorder="1" applyAlignment="1">
      <alignment horizontal="right"/>
    </xf>
    <xf numFmtId="0" fontId="11" fillId="16" borderId="24" xfId="0" applyFont="1" applyFill="1" applyBorder="1" applyAlignment="1">
      <alignment horizontal="right"/>
    </xf>
    <xf numFmtId="0" fontId="12" fillId="16" borderId="25" xfId="0" applyFont="1" applyFill="1" applyBorder="1" applyAlignment="1">
      <alignment horizontal="right"/>
    </xf>
    <xf numFmtId="0" fontId="11" fillId="16" borderId="26" xfId="0" applyFont="1" applyFill="1" applyBorder="1" applyAlignment="1">
      <alignment horizontal="center"/>
    </xf>
    <xf numFmtId="0" fontId="11" fillId="16" borderId="29" xfId="0" applyFont="1" applyFill="1" applyBorder="1" applyAlignment="1">
      <alignment horizontal="center"/>
    </xf>
    <xf numFmtId="165" fontId="11" fillId="16" borderId="27" xfId="0" applyNumberFormat="1" applyFont="1" applyFill="1" applyBorder="1" applyAlignment="1">
      <alignment horizontal="center"/>
    </xf>
    <xf numFmtId="0" fontId="27" fillId="0" borderId="0" xfId="0" applyFont="1" applyAlignment="1"/>
    <xf numFmtId="0" fontId="28" fillId="0" borderId="0" xfId="0" applyFont="1" applyAlignment="1">
      <alignment horizontal="center"/>
    </xf>
    <xf numFmtId="0" fontId="29" fillId="0" borderId="0" xfId="0" applyFont="1" applyAlignment="1"/>
    <xf numFmtId="0" fontId="25" fillId="2" borderId="19" xfId="0" applyFont="1" applyFill="1" applyBorder="1" applyAlignment="1">
      <alignment horizontal="center" vertical="center"/>
    </xf>
    <xf numFmtId="0" fontId="25" fillId="13" borderId="19" xfId="0" applyFont="1" applyFill="1" applyBorder="1" applyAlignment="1">
      <alignment horizontal="center" vertical="center"/>
    </xf>
    <xf numFmtId="0" fontId="25" fillId="14" borderId="19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165" fontId="8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4" fillId="2" borderId="2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5" fillId="0" borderId="6" xfId="0" applyFont="1" applyBorder="1"/>
    <xf numFmtId="0" fontId="5" fillId="0" borderId="8" xfId="0" applyFont="1" applyBorder="1"/>
    <xf numFmtId="0" fontId="3" fillId="4" borderId="5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9" xfId="0" applyFont="1" applyBorder="1"/>
    <xf numFmtId="0" fontId="5" fillId="0" borderId="10" xfId="0" applyFont="1" applyBorder="1"/>
    <xf numFmtId="0" fontId="3" fillId="5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165" fontId="8" fillId="5" borderId="2" xfId="0" applyNumberFormat="1" applyFont="1" applyFill="1" applyBorder="1"/>
    <xf numFmtId="165" fontId="8" fillId="6" borderId="2" xfId="0" applyNumberFormat="1" applyFont="1" applyFill="1" applyBorder="1" applyAlignment="1">
      <alignment horizontal="center"/>
    </xf>
    <xf numFmtId="0" fontId="8" fillId="0" borderId="2" xfId="0" applyFont="1" applyBorder="1"/>
    <xf numFmtId="165" fontId="8" fillId="4" borderId="2" xfId="0" applyNumberFormat="1" applyFont="1" applyFill="1" applyBorder="1"/>
    <xf numFmtId="0" fontId="24" fillId="8" borderId="17" xfId="0" applyFont="1" applyFill="1" applyBorder="1" applyAlignment="1">
      <alignment vertical="center"/>
    </xf>
    <xf numFmtId="0" fontId="5" fillId="0" borderId="4" xfId="0" applyFont="1" applyBorder="1"/>
    <xf numFmtId="0" fontId="5" fillId="0" borderId="18" xfId="0" applyFont="1" applyBorder="1"/>
    <xf numFmtId="0" fontId="24" fillId="0" borderId="17" xfId="0" applyFont="1" applyBorder="1" applyAlignment="1">
      <alignment vertical="center"/>
    </xf>
    <xf numFmtId="0" fontId="24" fillId="2" borderId="17" xfId="0" applyFont="1" applyFill="1" applyBorder="1" applyAlignment="1">
      <alignment horizontal="left" vertical="center"/>
    </xf>
    <xf numFmtId="0" fontId="24" fillId="13" borderId="17" xfId="0" applyFont="1" applyFill="1" applyBorder="1" applyAlignment="1">
      <alignment horizontal="left" vertical="center"/>
    </xf>
    <xf numFmtId="0" fontId="25" fillId="6" borderId="17" xfId="0" applyFont="1" applyFill="1" applyBorder="1" applyAlignment="1">
      <alignment horizontal="left" vertical="center"/>
    </xf>
    <xf numFmtId="0" fontId="25" fillId="3" borderId="2" xfId="0" applyFont="1" applyFill="1" applyBorder="1" applyAlignment="1">
      <alignment horizontal="left" vertical="center"/>
    </xf>
    <xf numFmtId="0" fontId="25" fillId="14" borderId="17" xfId="0" applyFont="1" applyFill="1" applyBorder="1" applyAlignment="1">
      <alignment horizontal="left" vertical="center"/>
    </xf>
    <xf numFmtId="0" fontId="25" fillId="11" borderId="2" xfId="0" applyFont="1" applyFill="1" applyBorder="1" applyAlignment="1">
      <alignment horizontal="left" vertical="center"/>
    </xf>
    <xf numFmtId="0" fontId="25" fillId="14" borderId="2" xfId="0" applyFont="1" applyFill="1" applyBorder="1" applyAlignment="1">
      <alignment horizontal="left" vertical="center"/>
    </xf>
    <xf numFmtId="0" fontId="25" fillId="8" borderId="17" xfId="0" applyFont="1" applyFill="1" applyBorder="1" applyAlignment="1">
      <alignment horizontal="left" vertical="center"/>
    </xf>
    <xf numFmtId="0" fontId="25" fillId="0" borderId="20" xfId="0" applyFont="1" applyBorder="1" applyAlignment="1">
      <alignment horizontal="left" vertical="center" wrapText="1"/>
    </xf>
    <xf numFmtId="0" fontId="25" fillId="0" borderId="17" xfId="0" applyFont="1" applyBorder="1" applyAlignment="1">
      <alignment horizontal="left" vertical="center"/>
    </xf>
    <xf numFmtId="0" fontId="19" fillId="10" borderId="4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0" fontId="24" fillId="8" borderId="17" xfId="0" applyFont="1" applyFill="1" applyBorder="1" applyAlignment="1">
      <alignment horizontal="left" vertical="center"/>
    </xf>
    <xf numFmtId="0" fontId="6" fillId="0" borderId="17" xfId="0" applyFont="1" applyBorder="1" applyAlignment="1">
      <alignment horizontal="left" vertical="center" wrapText="1"/>
    </xf>
    <xf numFmtId="0" fontId="6" fillId="8" borderId="17" xfId="0" applyFont="1" applyFill="1" applyBorder="1" applyAlignment="1">
      <alignment horizontal="left" vertical="center" wrapText="1"/>
    </xf>
    <xf numFmtId="0" fontId="24" fillId="0" borderId="17" xfId="0" applyFont="1" applyBorder="1" applyAlignment="1">
      <alignment horizontal="left" vertical="center"/>
    </xf>
    <xf numFmtId="0" fontId="12" fillId="0" borderId="24" xfId="0" applyFont="1" applyBorder="1" applyAlignment="1">
      <alignment horizontal="right"/>
    </xf>
    <xf numFmtId="0" fontId="5" fillId="0" borderId="24" xfId="0" applyFont="1" applyBorder="1"/>
    <xf numFmtId="0" fontId="5" fillId="0" borderId="25" xfId="0" applyFont="1" applyBorder="1"/>
    <xf numFmtId="0" fontId="28" fillId="0" borderId="0" xfId="0" applyFont="1" applyAlignment="1">
      <alignment horizontal="center"/>
    </xf>
    <xf numFmtId="0" fontId="24" fillId="0" borderId="17" xfId="0" applyFont="1" applyBorder="1" applyAlignment="1">
      <alignment horizontal="left" vertical="center" wrapText="1"/>
    </xf>
    <xf numFmtId="0" fontId="24" fillId="8" borderId="17" xfId="0" applyFont="1" applyFill="1" applyBorder="1" applyAlignment="1">
      <alignment horizontal="left" vertical="center" wrapText="1"/>
    </xf>
    <xf numFmtId="0" fontId="12" fillId="0" borderId="23" xfId="0" applyFont="1" applyBorder="1" applyAlignment="1">
      <alignment horizontal="left"/>
    </xf>
    <xf numFmtId="0" fontId="10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9" fillId="0" borderId="0" xfId="0" applyFont="1" applyAlignment="1"/>
    <xf numFmtId="0" fontId="12" fillId="0" borderId="2" xfId="0" applyFont="1" applyBorder="1" applyAlignment="1">
      <alignment vertical="center"/>
    </xf>
    <xf numFmtId="14" fontId="15" fillId="0" borderId="4" xfId="0" applyNumberFormat="1" applyFont="1" applyBorder="1" applyAlignment="1">
      <alignment vertical="center"/>
    </xf>
    <xf numFmtId="0" fontId="1" fillId="0" borderId="11" xfId="0" applyFont="1" applyBorder="1"/>
    <xf numFmtId="0" fontId="5" fillId="0" borderId="11" xfId="0" applyFont="1" applyBorder="1"/>
    <xf numFmtId="0" fontId="18" fillId="0" borderId="12" xfId="0" applyFont="1" applyBorder="1" applyAlignment="1">
      <alignment horizontal="center" vertical="center" wrapText="1"/>
    </xf>
    <xf numFmtId="0" fontId="5" fillId="0" borderId="14" xfId="0" applyFont="1" applyBorder="1"/>
    <xf numFmtId="0" fontId="5" fillId="0" borderId="15" xfId="0" applyFont="1" applyBorder="1"/>
    <xf numFmtId="0" fontId="19" fillId="9" borderId="12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22" fillId="1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2" fillId="7" borderId="5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24" fillId="0" borderId="1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142875</xdr:rowOff>
    </xdr:from>
    <xdr:ext cx="5010150" cy="206692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142875</xdr:rowOff>
    </xdr:from>
    <xdr:ext cx="5010150" cy="206692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142875</xdr:rowOff>
    </xdr:from>
    <xdr:ext cx="5010150" cy="206692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142875</xdr:rowOff>
    </xdr:from>
    <xdr:ext cx="5010150" cy="206692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142875</xdr:rowOff>
    </xdr:from>
    <xdr:ext cx="5010150" cy="206692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0"/>
  <sheetViews>
    <sheetView tabSelected="1" workbookViewId="0">
      <selection activeCell="G26" sqref="G26"/>
    </sheetView>
  </sheetViews>
  <sheetFormatPr defaultColWidth="12.5703125" defaultRowHeight="15" customHeight="1" x14ac:dyDescent="0.2"/>
  <cols>
    <col min="3" max="3" width="17.42578125" customWidth="1"/>
    <col min="4" max="4" width="18.140625" customWidth="1"/>
    <col min="5" max="5" width="14.28515625" customWidth="1"/>
    <col min="6" max="6" width="17.7109375" customWidth="1"/>
    <col min="7" max="7" width="15.5703125" customWidth="1"/>
    <col min="8" max="8" width="15.7109375" customWidth="1"/>
  </cols>
  <sheetData>
    <row r="1" spans="1:26" ht="15.75" customHeight="1" x14ac:dyDescent="0.4">
      <c r="A1" s="1"/>
      <c r="B1" s="108" t="s">
        <v>0</v>
      </c>
      <c r="C1" s="109"/>
      <c r="D1" s="109"/>
      <c r="E1" s="109"/>
      <c r="F1" s="109"/>
      <c r="G1" s="109"/>
      <c r="K1" s="2"/>
      <c r="L1" s="2"/>
      <c r="M1" s="2"/>
      <c r="N1" s="2"/>
    </row>
    <row r="2" spans="1:26" ht="15.75" customHeight="1" x14ac:dyDescent="0.4">
      <c r="B2" s="109"/>
      <c r="C2" s="109"/>
      <c r="D2" s="109"/>
      <c r="E2" s="109"/>
      <c r="F2" s="109"/>
      <c r="G2" s="109"/>
      <c r="K2" s="2"/>
      <c r="L2" s="2"/>
      <c r="M2" s="2"/>
      <c r="N2" s="2"/>
    </row>
    <row r="3" spans="1:26" ht="15.75" customHeight="1" x14ac:dyDescent="0.2"/>
    <row r="4" spans="1:26" ht="21" customHeight="1" x14ac:dyDescent="0.2">
      <c r="A4" s="3"/>
      <c r="B4" s="3"/>
      <c r="C4" s="3"/>
      <c r="D4" s="3"/>
      <c r="E4" s="3"/>
      <c r="F4" s="4" t="s">
        <v>1</v>
      </c>
      <c r="G4" s="110"/>
      <c r="H4" s="106"/>
      <c r="I4" s="5"/>
      <c r="J4" s="5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1.75" customHeight="1" x14ac:dyDescent="0.2">
      <c r="A5" s="3"/>
      <c r="B5" s="3"/>
      <c r="C5" s="3"/>
      <c r="D5" s="3"/>
      <c r="E5" s="3"/>
      <c r="F5" s="6" t="s">
        <v>3</v>
      </c>
      <c r="G5" s="111"/>
      <c r="H5" s="106"/>
      <c r="I5" s="5"/>
      <c r="J5" s="5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 x14ac:dyDescent="0.2">
      <c r="A6" s="3"/>
      <c r="B6" s="3"/>
      <c r="C6" s="3"/>
      <c r="D6" s="3"/>
      <c r="E6" s="3"/>
      <c r="F6" s="7" t="s">
        <v>4</v>
      </c>
      <c r="G6" s="8"/>
      <c r="H6" s="9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/>
    <row r="8" spans="1:26" ht="15.75" customHeight="1" x14ac:dyDescent="0.2"/>
    <row r="9" spans="1:26" ht="15.75" customHeight="1" x14ac:dyDescent="0.2">
      <c r="A9" s="112" t="s">
        <v>5</v>
      </c>
      <c r="B9" s="113"/>
      <c r="C9" s="115" t="s">
        <v>6</v>
      </c>
      <c r="D9" s="116"/>
      <c r="E9" s="119" t="s">
        <v>7</v>
      </c>
      <c r="F9" s="116"/>
      <c r="G9" s="120" t="s">
        <v>8</v>
      </c>
      <c r="H9" s="116"/>
    </row>
    <row r="10" spans="1:26" ht="15.75" customHeight="1" x14ac:dyDescent="0.2">
      <c r="A10" s="114"/>
      <c r="B10" s="109"/>
      <c r="C10" s="117"/>
      <c r="D10" s="118"/>
      <c r="E10" s="117"/>
      <c r="F10" s="118"/>
      <c r="G10" s="117"/>
      <c r="H10" s="118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105" t="s">
        <v>9</v>
      </c>
      <c r="B11" s="106"/>
      <c r="C11" s="107">
        <f>'Controller A'!AT65</f>
        <v>0</v>
      </c>
      <c r="D11" s="106"/>
      <c r="E11" s="107">
        <f>'Controller A'!AU66</f>
        <v>0</v>
      </c>
      <c r="F11" s="106"/>
      <c r="G11" s="107">
        <f t="shared" ref="G11:G15" si="0">SUM(C11+E11)</f>
        <v>0</v>
      </c>
      <c r="H11" s="106"/>
    </row>
    <row r="12" spans="1:26" ht="15.75" customHeight="1" x14ac:dyDescent="0.25">
      <c r="A12" s="105" t="s">
        <v>10</v>
      </c>
      <c r="B12" s="106"/>
      <c r="C12" s="107">
        <f>'Controller B'!AT65</f>
        <v>0</v>
      </c>
      <c r="D12" s="106"/>
      <c r="E12" s="107">
        <f>'Controller B'!AU66</f>
        <v>0</v>
      </c>
      <c r="F12" s="106"/>
      <c r="G12" s="107">
        <f t="shared" si="0"/>
        <v>0</v>
      </c>
      <c r="H12" s="106"/>
    </row>
    <row r="13" spans="1:26" ht="15.75" customHeight="1" x14ac:dyDescent="0.25">
      <c r="A13" s="105" t="s">
        <v>11</v>
      </c>
      <c r="B13" s="106"/>
      <c r="C13" s="107">
        <f>'Controller C'!AT65</f>
        <v>0</v>
      </c>
      <c r="D13" s="106"/>
      <c r="E13" s="107">
        <f>'Controller C'!AU66</f>
        <v>0</v>
      </c>
      <c r="F13" s="106"/>
      <c r="G13" s="107">
        <f t="shared" si="0"/>
        <v>0</v>
      </c>
      <c r="H13" s="106"/>
    </row>
    <row r="14" spans="1:26" ht="15.75" customHeight="1" x14ac:dyDescent="0.25">
      <c r="A14" s="105" t="s">
        <v>12</v>
      </c>
      <c r="B14" s="106"/>
      <c r="C14" s="107">
        <f>'Controller D'!AT65</f>
        <v>0</v>
      </c>
      <c r="D14" s="106"/>
      <c r="E14" s="107">
        <f>'Controller D'!AU66</f>
        <v>0</v>
      </c>
      <c r="F14" s="106"/>
      <c r="G14" s="107">
        <f t="shared" si="0"/>
        <v>0</v>
      </c>
      <c r="H14" s="106"/>
    </row>
    <row r="15" spans="1:26" ht="15.75" customHeight="1" x14ac:dyDescent="0.25">
      <c r="A15" s="105" t="s">
        <v>13</v>
      </c>
      <c r="B15" s="106"/>
      <c r="C15" s="107">
        <f>'Controller E'!AT65</f>
        <v>0</v>
      </c>
      <c r="D15" s="106"/>
      <c r="E15" s="107">
        <f>'Controller E'!AU66</f>
        <v>0</v>
      </c>
      <c r="F15" s="106"/>
      <c r="G15" s="107">
        <f t="shared" si="0"/>
        <v>0</v>
      </c>
      <c r="H15" s="106"/>
    </row>
    <row r="16" spans="1:26" ht="15.75" customHeight="1" x14ac:dyDescent="0.25">
      <c r="A16" s="105"/>
      <c r="B16" s="106"/>
      <c r="C16" s="107"/>
      <c r="D16" s="106"/>
      <c r="E16" s="107"/>
      <c r="F16" s="106"/>
      <c r="G16" s="107"/>
      <c r="H16" s="106"/>
    </row>
    <row r="17" spans="1:8" ht="15.75" customHeight="1" x14ac:dyDescent="0.25">
      <c r="A17" s="105"/>
      <c r="B17" s="106"/>
      <c r="C17" s="107"/>
      <c r="D17" s="106"/>
      <c r="E17" s="107"/>
      <c r="F17" s="106"/>
      <c r="G17" s="107"/>
      <c r="H17" s="106"/>
    </row>
    <row r="18" spans="1:8" ht="15.75" customHeight="1" x14ac:dyDescent="0.25">
      <c r="A18" s="105"/>
      <c r="B18" s="106"/>
      <c r="C18" s="107"/>
      <c r="D18" s="106"/>
      <c r="E18" s="107"/>
      <c r="F18" s="106"/>
      <c r="G18" s="107"/>
      <c r="H18" s="106"/>
    </row>
    <row r="19" spans="1:8" ht="15.75" customHeight="1" x14ac:dyDescent="0.25">
      <c r="A19" s="105"/>
      <c r="B19" s="106"/>
      <c r="C19" s="107"/>
      <c r="D19" s="106"/>
      <c r="E19" s="107"/>
      <c r="F19" s="106"/>
      <c r="G19" s="107"/>
      <c r="H19" s="106"/>
    </row>
    <row r="20" spans="1:8" ht="15.75" customHeight="1" x14ac:dyDescent="0.25">
      <c r="A20" s="105"/>
      <c r="B20" s="106"/>
      <c r="C20" s="107"/>
      <c r="D20" s="106"/>
      <c r="E20" s="107"/>
      <c r="F20" s="106"/>
      <c r="G20" s="107"/>
      <c r="H20" s="106"/>
    </row>
    <row r="21" spans="1:8" ht="15.75" customHeight="1" x14ac:dyDescent="0.25">
      <c r="A21" s="105"/>
      <c r="B21" s="106"/>
      <c r="C21" s="107"/>
      <c r="D21" s="106"/>
      <c r="E21" s="107"/>
      <c r="F21" s="106"/>
      <c r="G21" s="107"/>
      <c r="H21" s="106"/>
    </row>
    <row r="22" spans="1:8" ht="15.75" customHeight="1" x14ac:dyDescent="0.25">
      <c r="A22" s="123"/>
      <c r="B22" s="106"/>
      <c r="C22" s="124">
        <f>SUM(C11:D21)</f>
        <v>0</v>
      </c>
      <c r="D22" s="106"/>
      <c r="E22" s="121">
        <f>SUM(E11:F21)</f>
        <v>0</v>
      </c>
      <c r="F22" s="106"/>
      <c r="G22" s="122">
        <f>SUM(G11:H21)</f>
        <v>0</v>
      </c>
      <c r="H22" s="106"/>
    </row>
    <row r="23" spans="1:8" ht="15.75" customHeight="1" x14ac:dyDescent="0.2"/>
    <row r="24" spans="1:8" ht="15.75" customHeight="1" x14ac:dyDescent="0.2"/>
    <row r="25" spans="1:8" ht="15.75" customHeight="1" x14ac:dyDescent="0.2"/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5">
    <mergeCell ref="G18:H18"/>
    <mergeCell ref="E22:F22"/>
    <mergeCell ref="G22:H22"/>
    <mergeCell ref="A20:B20"/>
    <mergeCell ref="A21:B21"/>
    <mergeCell ref="C21:D21"/>
    <mergeCell ref="E21:F21"/>
    <mergeCell ref="G21:H21"/>
    <mergeCell ref="A22:B22"/>
    <mergeCell ref="C22:D22"/>
    <mergeCell ref="A15:B15"/>
    <mergeCell ref="C15:D15"/>
    <mergeCell ref="E15:F15"/>
    <mergeCell ref="G15:H15"/>
    <mergeCell ref="C16:D16"/>
    <mergeCell ref="E16:F16"/>
    <mergeCell ref="G16:H16"/>
    <mergeCell ref="E12:F12"/>
    <mergeCell ref="G12:H12"/>
    <mergeCell ref="E14:F14"/>
    <mergeCell ref="G14:H14"/>
    <mergeCell ref="A12:B12"/>
    <mergeCell ref="A13:B13"/>
    <mergeCell ref="C13:D13"/>
    <mergeCell ref="E13:F13"/>
    <mergeCell ref="G13:H13"/>
    <mergeCell ref="A14:B14"/>
    <mergeCell ref="C14:D14"/>
    <mergeCell ref="G19:H19"/>
    <mergeCell ref="C20:D20"/>
    <mergeCell ref="E20:F20"/>
    <mergeCell ref="G20:H20"/>
    <mergeCell ref="B1:G2"/>
    <mergeCell ref="G4:H4"/>
    <mergeCell ref="G5:H5"/>
    <mergeCell ref="A9:B10"/>
    <mergeCell ref="C9:D10"/>
    <mergeCell ref="E9:F10"/>
    <mergeCell ref="G9:H10"/>
    <mergeCell ref="A11:B11"/>
    <mergeCell ref="C11:D11"/>
    <mergeCell ref="E11:F11"/>
    <mergeCell ref="G11:H11"/>
    <mergeCell ref="C12:D12"/>
    <mergeCell ref="A18:B18"/>
    <mergeCell ref="C18:D18"/>
    <mergeCell ref="A19:B19"/>
    <mergeCell ref="C19:D19"/>
    <mergeCell ref="E19:F19"/>
    <mergeCell ref="E18:F18"/>
    <mergeCell ref="A16:B16"/>
    <mergeCell ref="A17:B17"/>
    <mergeCell ref="C17:D17"/>
    <mergeCell ref="E17:F17"/>
    <mergeCell ref="G17:H17"/>
  </mergeCells>
  <dataValidations count="3">
    <dataValidation type="list" allowBlank="1" sqref="H6" xr:uid="{00000000-0002-0000-0000-000000000000}">
      <formula1>"March 2026,April 2026,May 2026,June 2026,July 2026,August 2026,September 2026,October 2026,November 2026,December 2026,January 2025,February 2025"</formula1>
    </dataValidation>
    <dataValidation type="list" allowBlank="1" sqref="G6" xr:uid="{00000000-0002-0000-0000-000001000000}">
      <formula1>"1,2,3,4,5,6,7,8,9,10,11,12,13,14,15,16,17,18,19,20,21,22,23,24,25,26,27,28,29,30,31"</formula1>
    </dataValidation>
    <dataValidation type="list" allowBlank="1" sqref="G5" xr:uid="{00000000-0002-0000-0000-000002000000}">
      <formula1>"Manuel,Pedro,Cesar,Roberto,Raul,Juan"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Z1004"/>
  <sheetViews>
    <sheetView showGridLines="0" zoomScale="50" zoomScaleNormal="50" workbookViewId="0">
      <pane xSplit="3" ySplit="14" topLeftCell="D15" activePane="bottomRight" state="frozen"/>
      <selection pane="topRight" activeCell="D1" sqref="D1"/>
      <selection pane="bottomLeft" activeCell="A15" sqref="A15"/>
      <selection pane="bottomRight" activeCell="R45" sqref="R45"/>
    </sheetView>
  </sheetViews>
  <sheetFormatPr defaultColWidth="12.5703125" defaultRowHeight="15" customHeight="1" x14ac:dyDescent="0.2"/>
  <cols>
    <col min="1" max="1" width="18.28515625" customWidth="1"/>
    <col min="2" max="2" width="7.5703125" customWidth="1"/>
    <col min="3" max="3" width="29.85546875" customWidth="1"/>
    <col min="4" max="43" width="10.85546875" customWidth="1"/>
    <col min="44" max="44" width="13.28515625" customWidth="1"/>
    <col min="45" max="45" width="11.140625" customWidth="1"/>
    <col min="46" max="46" width="18.42578125" customWidth="1"/>
    <col min="47" max="47" width="18.85546875" customWidth="1"/>
    <col min="48" max="52" width="8" customWidth="1"/>
  </cols>
  <sheetData>
    <row r="1" spans="1:52" ht="12.75" customHeight="1" x14ac:dyDescent="0.2">
      <c r="A1" s="10"/>
      <c r="B1" s="10" t="s">
        <v>14</v>
      </c>
      <c r="C1" s="10"/>
      <c r="D1" s="10"/>
      <c r="E1" s="10"/>
      <c r="F1" s="10"/>
      <c r="G1" s="10"/>
      <c r="H1" s="152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"/>
      <c r="AW1" s="10"/>
      <c r="AX1" s="10"/>
      <c r="AY1" s="10"/>
      <c r="AZ1" s="10"/>
    </row>
    <row r="2" spans="1:52" ht="12.75" customHeight="1" x14ac:dyDescent="0.2">
      <c r="A2" s="10"/>
      <c r="B2" s="10"/>
      <c r="C2" s="10"/>
      <c r="D2" s="10"/>
      <c r="E2" s="10"/>
      <c r="F2" s="10"/>
      <c r="G2" s="10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09"/>
      <c r="AV2" s="10"/>
      <c r="AW2" s="10"/>
      <c r="AX2" s="10"/>
      <c r="AY2" s="10"/>
      <c r="AZ2" s="10"/>
    </row>
    <row r="3" spans="1:52" ht="12.75" customHeight="1" x14ac:dyDescent="0.2">
      <c r="A3" s="10"/>
      <c r="B3" s="10"/>
      <c r="C3" s="10"/>
      <c r="D3" s="10"/>
      <c r="E3" s="10"/>
      <c r="F3" s="10"/>
      <c r="G3" s="10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"/>
      <c r="AW3" s="10"/>
      <c r="AX3" s="10"/>
      <c r="AY3" s="10"/>
      <c r="AZ3" s="10"/>
    </row>
    <row r="4" spans="1:52" ht="12.75" customHeight="1" x14ac:dyDescent="0.2">
      <c r="A4" s="10"/>
      <c r="B4" s="10"/>
      <c r="C4" s="10"/>
      <c r="D4" s="10"/>
      <c r="E4" s="10"/>
      <c r="F4" s="10"/>
      <c r="G4" s="10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"/>
      <c r="AW4" s="10"/>
      <c r="AX4" s="10"/>
      <c r="AY4" s="10"/>
      <c r="AZ4" s="10"/>
    </row>
    <row r="5" spans="1:52" ht="28.5" customHeight="1" x14ac:dyDescent="0.2">
      <c r="A5" s="10"/>
      <c r="B5" s="10"/>
      <c r="C5" s="10"/>
      <c r="D5" s="10"/>
      <c r="E5" s="153" t="s">
        <v>15</v>
      </c>
      <c r="F5" s="126"/>
      <c r="G5" s="126"/>
      <c r="H5" s="126"/>
      <c r="I5" s="126"/>
      <c r="J5" s="126"/>
      <c r="K5" s="126"/>
      <c r="L5" s="126"/>
      <c r="M5" s="126"/>
      <c r="N5" s="154"/>
      <c r="O5" s="126"/>
      <c r="P5" s="126"/>
      <c r="Q5" s="126"/>
      <c r="R5" s="126"/>
      <c r="S5" s="126"/>
      <c r="T5" s="106"/>
      <c r="U5" s="10"/>
      <c r="V5" s="155" t="s">
        <v>16</v>
      </c>
      <c r="W5" s="126"/>
      <c r="X5" s="126"/>
      <c r="Y5" s="126"/>
      <c r="Z5" s="126"/>
      <c r="AA5" s="126"/>
      <c r="AB5" s="126"/>
      <c r="AC5" s="126"/>
      <c r="AD5" s="155" t="s">
        <v>2</v>
      </c>
      <c r="AE5" s="126"/>
      <c r="AF5" s="126"/>
      <c r="AG5" s="126"/>
      <c r="AH5" s="126"/>
      <c r="AI5" s="126"/>
      <c r="AJ5" s="126"/>
      <c r="AK5" s="106"/>
      <c r="AL5" s="10"/>
      <c r="AM5" s="156"/>
      <c r="AN5" s="109"/>
      <c r="AO5" s="109"/>
      <c r="AP5" s="109"/>
      <c r="AQ5" s="109"/>
      <c r="AR5" s="109"/>
      <c r="AS5" s="10"/>
      <c r="AT5" s="10"/>
      <c r="AU5" s="10"/>
      <c r="AV5" s="10"/>
      <c r="AW5" s="10"/>
      <c r="AX5" s="10"/>
      <c r="AY5" s="10"/>
      <c r="AZ5" s="10"/>
    </row>
    <row r="6" spans="1:52" ht="28.5" customHeight="1" x14ac:dyDescent="0.2">
      <c r="A6" s="10"/>
      <c r="B6" s="10"/>
      <c r="C6" s="10"/>
      <c r="D6" s="10"/>
      <c r="E6" s="153" t="s">
        <v>17</v>
      </c>
      <c r="F6" s="126"/>
      <c r="G6" s="126"/>
      <c r="H6" s="126"/>
      <c r="I6" s="126"/>
      <c r="J6" s="126"/>
      <c r="K6" s="126"/>
      <c r="L6" s="126"/>
      <c r="M6" s="126"/>
      <c r="N6" s="157"/>
      <c r="O6" s="126"/>
      <c r="P6" s="126"/>
      <c r="Q6" s="126"/>
      <c r="R6" s="126"/>
      <c r="S6" s="126"/>
      <c r="T6" s="106"/>
      <c r="U6" s="10"/>
      <c r="V6" s="155" t="s">
        <v>18</v>
      </c>
      <c r="W6" s="126"/>
      <c r="X6" s="126"/>
      <c r="Y6" s="126"/>
      <c r="Z6" s="126"/>
      <c r="AA6" s="126"/>
      <c r="AB6" s="126"/>
      <c r="AC6" s="126"/>
      <c r="AD6" s="155" t="s">
        <v>19</v>
      </c>
      <c r="AE6" s="126"/>
      <c r="AF6" s="126"/>
      <c r="AG6" s="126"/>
      <c r="AH6" s="126"/>
      <c r="AI6" s="126"/>
      <c r="AJ6" s="126"/>
      <c r="AK6" s="106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</row>
    <row r="7" spans="1:52" ht="28.5" customHeight="1" x14ac:dyDescent="0.5">
      <c r="A7" s="10"/>
      <c r="B7" s="10"/>
      <c r="C7" s="10"/>
      <c r="D7" s="10"/>
      <c r="E7" s="153" t="s">
        <v>20</v>
      </c>
      <c r="F7" s="126"/>
      <c r="G7" s="126"/>
      <c r="H7" s="126"/>
      <c r="I7" s="126"/>
      <c r="J7" s="126"/>
      <c r="K7" s="126"/>
      <c r="L7" s="126"/>
      <c r="M7" s="106"/>
      <c r="N7" s="157"/>
      <c r="O7" s="126"/>
      <c r="P7" s="126"/>
      <c r="Q7" s="126"/>
      <c r="R7" s="126"/>
      <c r="S7" s="126"/>
      <c r="T7" s="106"/>
      <c r="U7" s="11"/>
      <c r="V7" s="155" t="s">
        <v>21</v>
      </c>
      <c r="W7" s="126"/>
      <c r="X7" s="126"/>
      <c r="Y7" s="126"/>
      <c r="Z7" s="126"/>
      <c r="AA7" s="126"/>
      <c r="AB7" s="126"/>
      <c r="AC7" s="126"/>
      <c r="AD7" s="166"/>
      <c r="AE7" s="126"/>
      <c r="AF7" s="126"/>
      <c r="AG7" s="126"/>
      <c r="AH7" s="126"/>
      <c r="AI7" s="126"/>
      <c r="AJ7" s="126"/>
      <c r="AK7" s="106"/>
      <c r="AL7" s="12"/>
      <c r="AM7" s="12"/>
      <c r="AN7" s="12"/>
      <c r="AO7" s="12"/>
      <c r="AP7" s="12"/>
      <c r="AQ7" s="12"/>
      <c r="AR7" s="12"/>
      <c r="AS7" s="12"/>
      <c r="AT7" s="10"/>
      <c r="AU7" s="10"/>
      <c r="AV7" s="10"/>
      <c r="AW7" s="10"/>
      <c r="AX7" s="10"/>
      <c r="AY7" s="10"/>
      <c r="AZ7" s="10"/>
    </row>
    <row r="8" spans="1:52" ht="30.75" customHeight="1" x14ac:dyDescent="0.45">
      <c r="A8" s="10"/>
      <c r="B8" s="10"/>
      <c r="C8" s="10"/>
      <c r="D8" s="10"/>
      <c r="E8" s="153" t="s">
        <v>22</v>
      </c>
      <c r="F8" s="126"/>
      <c r="G8" s="126"/>
      <c r="H8" s="126"/>
      <c r="I8" s="126"/>
      <c r="J8" s="126"/>
      <c r="K8" s="126"/>
      <c r="L8" s="126"/>
      <c r="M8" s="106"/>
      <c r="N8" s="169"/>
      <c r="O8" s="126"/>
      <c r="P8" s="106"/>
      <c r="Q8" s="167"/>
      <c r="R8" s="106"/>
      <c r="S8" s="167"/>
      <c r="T8" s="106"/>
      <c r="U8" s="11"/>
      <c r="V8" s="155" t="s">
        <v>23</v>
      </c>
      <c r="W8" s="126"/>
      <c r="X8" s="126"/>
      <c r="Y8" s="126"/>
      <c r="Z8" s="126"/>
      <c r="AA8" s="126"/>
      <c r="AB8" s="126"/>
      <c r="AC8" s="126"/>
      <c r="AD8" s="155"/>
      <c r="AE8" s="126"/>
      <c r="AF8" s="126"/>
      <c r="AG8" s="126"/>
      <c r="AH8" s="126"/>
      <c r="AI8" s="126"/>
      <c r="AJ8" s="126"/>
      <c r="AK8" s="106"/>
      <c r="AL8" s="13"/>
      <c r="AM8" s="13"/>
      <c r="AN8" s="13"/>
      <c r="AO8" s="13"/>
      <c r="AP8" s="13"/>
      <c r="AQ8" s="13"/>
      <c r="AR8" s="13"/>
      <c r="AS8" s="13"/>
      <c r="AT8" s="10"/>
      <c r="AU8" s="10"/>
      <c r="AV8" s="10"/>
      <c r="AW8" s="10"/>
      <c r="AX8" s="10"/>
      <c r="AY8" s="10"/>
      <c r="AZ8" s="10"/>
    </row>
    <row r="9" spans="1:52" ht="28.5" customHeight="1" x14ac:dyDescent="0.45">
      <c r="A9" s="10"/>
      <c r="B9" s="10"/>
      <c r="C9" s="10"/>
      <c r="D9" s="10"/>
      <c r="E9" s="153" t="s">
        <v>24</v>
      </c>
      <c r="F9" s="126"/>
      <c r="G9" s="126"/>
      <c r="H9" s="126"/>
      <c r="I9" s="126"/>
      <c r="J9" s="126"/>
      <c r="K9" s="126"/>
      <c r="L9" s="126"/>
      <c r="M9" s="106"/>
      <c r="N9" s="158">
        <v>46058</v>
      </c>
      <c r="O9" s="126"/>
      <c r="P9" s="126"/>
      <c r="Q9" s="126"/>
      <c r="R9" s="126"/>
      <c r="S9" s="126"/>
      <c r="T9" s="106"/>
      <c r="U9" s="14" t="s">
        <v>25</v>
      </c>
      <c r="V9" s="155" t="s">
        <v>26</v>
      </c>
      <c r="W9" s="126"/>
      <c r="X9" s="126"/>
      <c r="Y9" s="126"/>
      <c r="Z9" s="126"/>
      <c r="AA9" s="126"/>
      <c r="AB9" s="126"/>
      <c r="AC9" s="106"/>
      <c r="AD9" s="159"/>
      <c r="AE9" s="160"/>
      <c r="AF9" s="160"/>
      <c r="AG9" s="160"/>
      <c r="AH9" s="160"/>
      <c r="AI9" s="160"/>
      <c r="AJ9" s="160"/>
      <c r="AK9" s="118"/>
      <c r="AL9" s="13"/>
      <c r="AM9" s="13"/>
      <c r="AN9" s="13"/>
      <c r="AO9" s="13"/>
      <c r="AP9" s="13"/>
      <c r="AQ9" s="13"/>
      <c r="AR9" s="13"/>
      <c r="AS9" s="13"/>
      <c r="AT9" s="10"/>
      <c r="AU9" s="10"/>
      <c r="AV9" s="10"/>
      <c r="AW9" s="10"/>
      <c r="AX9" s="10"/>
      <c r="AY9" s="10"/>
      <c r="AZ9" s="10"/>
    </row>
    <row r="10" spans="1:52" ht="32.25" customHeight="1" x14ac:dyDescent="0.5">
      <c r="A10" s="10"/>
      <c r="B10" s="10"/>
      <c r="C10" s="10"/>
      <c r="D10" s="10"/>
      <c r="U10" s="11"/>
      <c r="AD10" s="155"/>
      <c r="AE10" s="126"/>
      <c r="AF10" s="126"/>
      <c r="AG10" s="126"/>
      <c r="AH10" s="126"/>
      <c r="AI10" s="126"/>
      <c r="AJ10" s="126"/>
      <c r="AK10" s="106"/>
      <c r="AL10" s="12"/>
      <c r="AM10" s="12"/>
      <c r="AN10" s="12"/>
      <c r="AO10" s="12"/>
      <c r="AP10" s="12"/>
      <c r="AQ10" s="12"/>
      <c r="AR10" s="12"/>
      <c r="AS10" s="12"/>
      <c r="AT10" s="10"/>
      <c r="AU10" s="10"/>
      <c r="AV10" s="10"/>
      <c r="AW10" s="10"/>
      <c r="AX10" s="10"/>
      <c r="AY10" s="10"/>
      <c r="AZ10" s="10"/>
    </row>
    <row r="11" spans="1:52" ht="34.5" customHeight="1" x14ac:dyDescent="0.2">
      <c r="A11" s="170" t="s">
        <v>27</v>
      </c>
      <c r="B11" s="116"/>
      <c r="C11" s="15" t="s">
        <v>28</v>
      </c>
      <c r="D11" s="16" t="s">
        <v>29</v>
      </c>
      <c r="E11" s="16" t="s">
        <v>30</v>
      </c>
      <c r="F11" s="16" t="s">
        <v>30</v>
      </c>
      <c r="G11" s="16" t="s">
        <v>29</v>
      </c>
      <c r="H11" s="16" t="s">
        <v>29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61" t="s">
        <v>31</v>
      </c>
      <c r="AS11" s="161" t="s">
        <v>32</v>
      </c>
      <c r="AT11" s="164" t="s">
        <v>33</v>
      </c>
      <c r="AU11" s="165" t="s">
        <v>34</v>
      </c>
      <c r="AV11" s="10"/>
      <c r="AW11" s="10"/>
      <c r="AX11" s="10"/>
      <c r="AY11" s="10"/>
      <c r="AZ11" s="10"/>
    </row>
    <row r="12" spans="1:52" ht="34.5" customHeight="1" x14ac:dyDescent="0.2">
      <c r="A12" s="114"/>
      <c r="B12" s="171"/>
      <c r="C12" s="18" t="s">
        <v>35</v>
      </c>
      <c r="D12" s="19" t="s">
        <v>36</v>
      </c>
      <c r="E12" s="19" t="s">
        <v>37</v>
      </c>
      <c r="F12" s="19" t="s">
        <v>37</v>
      </c>
      <c r="G12" s="19" t="s">
        <v>36</v>
      </c>
      <c r="H12" s="19" t="s">
        <v>36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162"/>
      <c r="AS12" s="162"/>
      <c r="AT12" s="162"/>
      <c r="AU12" s="162"/>
      <c r="AV12" s="10"/>
      <c r="AW12" s="10"/>
      <c r="AX12" s="10"/>
      <c r="AY12" s="10"/>
      <c r="AZ12" s="10"/>
    </row>
    <row r="13" spans="1:52" ht="34.5" customHeight="1" x14ac:dyDescent="0.2">
      <c r="A13" s="114"/>
      <c r="B13" s="171"/>
      <c r="C13" s="21" t="s">
        <v>38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162"/>
      <c r="AS13" s="162"/>
      <c r="AT13" s="162"/>
      <c r="AU13" s="162"/>
      <c r="AV13" s="10"/>
      <c r="AW13" s="10"/>
      <c r="AX13" s="10"/>
      <c r="AY13" s="10"/>
      <c r="AZ13" s="10"/>
    </row>
    <row r="14" spans="1:52" ht="34.5" customHeight="1" x14ac:dyDescent="0.35">
      <c r="A14" s="117"/>
      <c r="B14" s="118"/>
      <c r="C14" s="18" t="s">
        <v>39</v>
      </c>
      <c r="D14" s="23">
        <v>1</v>
      </c>
      <c r="E14" s="23">
        <v>2</v>
      </c>
      <c r="F14" s="23">
        <v>3</v>
      </c>
      <c r="G14" s="23">
        <v>4</v>
      </c>
      <c r="H14" s="23">
        <v>5</v>
      </c>
      <c r="I14" s="23">
        <v>6</v>
      </c>
      <c r="J14" s="23">
        <v>7</v>
      </c>
      <c r="K14" s="23">
        <v>8</v>
      </c>
      <c r="L14" s="23">
        <v>9</v>
      </c>
      <c r="M14" s="23">
        <v>10</v>
      </c>
      <c r="N14" s="23">
        <v>11</v>
      </c>
      <c r="O14" s="23">
        <v>12</v>
      </c>
      <c r="P14" s="23">
        <v>13</v>
      </c>
      <c r="Q14" s="23">
        <v>14</v>
      </c>
      <c r="R14" s="23">
        <v>15</v>
      </c>
      <c r="S14" s="23">
        <v>16</v>
      </c>
      <c r="T14" s="23">
        <v>17</v>
      </c>
      <c r="U14" s="23">
        <v>18</v>
      </c>
      <c r="V14" s="23">
        <v>19</v>
      </c>
      <c r="W14" s="23">
        <v>20</v>
      </c>
      <c r="X14" s="23">
        <v>21</v>
      </c>
      <c r="Y14" s="23">
        <v>22</v>
      </c>
      <c r="Z14" s="23">
        <v>23</v>
      </c>
      <c r="AA14" s="23">
        <v>24</v>
      </c>
      <c r="AB14" s="23">
        <v>25</v>
      </c>
      <c r="AC14" s="23">
        <v>26</v>
      </c>
      <c r="AD14" s="23">
        <v>27</v>
      </c>
      <c r="AE14" s="23">
        <v>28</v>
      </c>
      <c r="AF14" s="23">
        <v>29</v>
      </c>
      <c r="AG14" s="23">
        <v>30</v>
      </c>
      <c r="AH14" s="23">
        <v>31</v>
      </c>
      <c r="AI14" s="23">
        <v>32</v>
      </c>
      <c r="AJ14" s="23">
        <v>33</v>
      </c>
      <c r="AK14" s="23">
        <v>34</v>
      </c>
      <c r="AL14" s="23">
        <v>35</v>
      </c>
      <c r="AM14" s="23">
        <v>36</v>
      </c>
      <c r="AN14" s="23">
        <v>37</v>
      </c>
      <c r="AO14" s="23">
        <v>38</v>
      </c>
      <c r="AP14" s="23">
        <v>39</v>
      </c>
      <c r="AQ14" s="23">
        <v>40</v>
      </c>
      <c r="AR14" s="163"/>
      <c r="AS14" s="163"/>
      <c r="AT14" s="163"/>
      <c r="AU14" s="163"/>
      <c r="AV14" s="10"/>
      <c r="AW14" s="10"/>
      <c r="AX14" s="10"/>
      <c r="AY14" s="10"/>
      <c r="AZ14" s="10"/>
    </row>
    <row r="15" spans="1:52" ht="30" customHeight="1" x14ac:dyDescent="0.2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168" t="s">
        <v>40</v>
      </c>
      <c r="R15" s="126"/>
      <c r="S15" s="126"/>
      <c r="T15" s="126"/>
      <c r="U15" s="126"/>
      <c r="V15" s="126"/>
      <c r="W15" s="126"/>
      <c r="X15" s="126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6"/>
      <c r="AR15" s="27"/>
      <c r="AS15" s="27"/>
      <c r="AT15" s="28"/>
      <c r="AU15" s="29"/>
      <c r="AV15" s="10"/>
      <c r="AW15" s="10"/>
      <c r="AX15" s="10"/>
      <c r="AY15" s="10"/>
      <c r="AZ15" s="10"/>
    </row>
    <row r="16" spans="1:52" ht="33.75" customHeight="1" x14ac:dyDescent="0.2">
      <c r="A16" s="128" t="s">
        <v>41</v>
      </c>
      <c r="B16" s="126"/>
      <c r="C16" s="127"/>
      <c r="D16" s="30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2">
        <f t="shared" ref="AR16:AR50" si="0">SUM(D16:AQ16)</f>
        <v>0</v>
      </c>
      <c r="AS16" s="33">
        <v>25</v>
      </c>
      <c r="AT16" s="34">
        <f t="shared" ref="AT16:AT50" si="1">AR16*AS16</f>
        <v>0</v>
      </c>
      <c r="AU16" s="35" t="s">
        <v>42</v>
      </c>
      <c r="AV16" s="36"/>
      <c r="AW16" s="36"/>
      <c r="AX16" s="36"/>
      <c r="AY16" s="36"/>
      <c r="AZ16" s="36"/>
    </row>
    <row r="17" spans="1:52" ht="33.75" customHeight="1" x14ac:dyDescent="0.2">
      <c r="A17" s="125" t="s">
        <v>43</v>
      </c>
      <c r="B17" s="126"/>
      <c r="C17" s="127"/>
      <c r="D17" s="37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2">
        <f t="shared" si="0"/>
        <v>0</v>
      </c>
      <c r="AS17" s="33">
        <v>25</v>
      </c>
      <c r="AT17" s="34">
        <f t="shared" si="1"/>
        <v>0</v>
      </c>
      <c r="AU17" s="35" t="s">
        <v>42</v>
      </c>
      <c r="AV17" s="36"/>
      <c r="AW17" s="36"/>
      <c r="AX17" s="36"/>
      <c r="AY17" s="36"/>
      <c r="AZ17" s="36"/>
    </row>
    <row r="18" spans="1:52" ht="33.75" customHeight="1" x14ac:dyDescent="0.2">
      <c r="A18" s="172" t="s">
        <v>44</v>
      </c>
      <c r="B18" s="126"/>
      <c r="C18" s="126"/>
      <c r="D18" s="39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2">
        <f t="shared" si="0"/>
        <v>0</v>
      </c>
      <c r="AS18" s="33">
        <v>20</v>
      </c>
      <c r="AT18" s="34">
        <f t="shared" si="1"/>
        <v>0</v>
      </c>
      <c r="AU18" s="35" t="s">
        <v>42</v>
      </c>
      <c r="AV18" s="36"/>
      <c r="AW18" s="36"/>
      <c r="AX18" s="36"/>
      <c r="AY18" s="36"/>
      <c r="AZ18" s="36"/>
    </row>
    <row r="19" spans="1:52" ht="33.75" customHeight="1" x14ac:dyDescent="0.2">
      <c r="A19" s="125" t="s">
        <v>45</v>
      </c>
      <c r="B19" s="126"/>
      <c r="C19" s="127"/>
      <c r="D19" s="40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2">
        <f t="shared" si="0"/>
        <v>0</v>
      </c>
      <c r="AS19" s="33">
        <v>60</v>
      </c>
      <c r="AT19" s="34">
        <f t="shared" si="1"/>
        <v>0</v>
      </c>
      <c r="AU19" s="35" t="s">
        <v>42</v>
      </c>
      <c r="AV19" s="36"/>
      <c r="AW19" s="36"/>
      <c r="AX19" s="36"/>
      <c r="AY19" s="36"/>
      <c r="AZ19" s="36"/>
    </row>
    <row r="20" spans="1:52" ht="33.75" customHeight="1" x14ac:dyDescent="0.2">
      <c r="A20" s="128" t="s">
        <v>46</v>
      </c>
      <c r="B20" s="126"/>
      <c r="C20" s="127"/>
      <c r="D20" s="39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2">
        <f t="shared" si="0"/>
        <v>0</v>
      </c>
      <c r="AS20" s="33">
        <v>31</v>
      </c>
      <c r="AT20" s="34">
        <f t="shared" si="1"/>
        <v>0</v>
      </c>
      <c r="AU20" s="35" t="s">
        <v>42</v>
      </c>
      <c r="AV20" s="36"/>
      <c r="AW20" s="36"/>
      <c r="AX20" s="36"/>
      <c r="AY20" s="36"/>
      <c r="AZ20" s="36"/>
    </row>
    <row r="21" spans="1:52" ht="33.75" customHeight="1" x14ac:dyDescent="0.2">
      <c r="A21" s="125" t="s">
        <v>47</v>
      </c>
      <c r="B21" s="126"/>
      <c r="C21" s="127"/>
      <c r="D21" s="40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2">
        <f t="shared" si="0"/>
        <v>0</v>
      </c>
      <c r="AS21" s="33">
        <v>330</v>
      </c>
      <c r="AT21" s="34">
        <f t="shared" si="1"/>
        <v>0</v>
      </c>
      <c r="AU21" s="35" t="s">
        <v>42</v>
      </c>
      <c r="AV21" s="36"/>
      <c r="AW21" s="36"/>
      <c r="AX21" s="36"/>
      <c r="AY21" s="36"/>
      <c r="AZ21" s="36"/>
    </row>
    <row r="22" spans="1:52" ht="33.75" customHeight="1" x14ac:dyDescent="0.2">
      <c r="A22" s="128" t="s">
        <v>48</v>
      </c>
      <c r="B22" s="126"/>
      <c r="C22" s="127"/>
      <c r="D22" s="39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2">
        <f t="shared" si="0"/>
        <v>0</v>
      </c>
      <c r="AS22" s="33">
        <v>250</v>
      </c>
      <c r="AT22" s="34">
        <f t="shared" si="1"/>
        <v>0</v>
      </c>
      <c r="AU22" s="35" t="s">
        <v>42</v>
      </c>
      <c r="AV22" s="36"/>
      <c r="AW22" s="36"/>
      <c r="AX22" s="36"/>
      <c r="AY22" s="36"/>
      <c r="AZ22" s="36"/>
    </row>
    <row r="23" spans="1:52" ht="33.75" customHeight="1" x14ac:dyDescent="0.2">
      <c r="A23" s="125" t="s">
        <v>49</v>
      </c>
      <c r="B23" s="126"/>
      <c r="C23" s="127"/>
      <c r="D23" s="40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2">
        <f t="shared" si="0"/>
        <v>0</v>
      </c>
      <c r="AS23" s="33">
        <v>50</v>
      </c>
      <c r="AT23" s="34">
        <f t="shared" si="1"/>
        <v>0</v>
      </c>
      <c r="AU23" s="35" t="s">
        <v>42</v>
      </c>
      <c r="AV23" s="36"/>
      <c r="AW23" s="36"/>
      <c r="AX23" s="36"/>
      <c r="AY23" s="36"/>
      <c r="AZ23" s="36"/>
    </row>
    <row r="24" spans="1:52" ht="33.75" customHeight="1" x14ac:dyDescent="0.2">
      <c r="A24" s="128" t="s">
        <v>50</v>
      </c>
      <c r="B24" s="126"/>
      <c r="C24" s="127"/>
      <c r="D24" s="39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2">
        <f t="shared" si="0"/>
        <v>0</v>
      </c>
      <c r="AS24" s="33">
        <v>68</v>
      </c>
      <c r="AT24" s="34">
        <f t="shared" si="1"/>
        <v>0</v>
      </c>
      <c r="AU24" s="35" t="s">
        <v>42</v>
      </c>
      <c r="AV24" s="36"/>
      <c r="AW24" s="36"/>
      <c r="AX24" s="36"/>
      <c r="AY24" s="36"/>
      <c r="AZ24" s="36"/>
    </row>
    <row r="25" spans="1:52" ht="33.75" customHeight="1" x14ac:dyDescent="0.2">
      <c r="A25" s="125" t="s">
        <v>51</v>
      </c>
      <c r="B25" s="126"/>
      <c r="C25" s="127"/>
      <c r="D25" s="40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2">
        <f t="shared" si="0"/>
        <v>0</v>
      </c>
      <c r="AS25" s="33">
        <v>90</v>
      </c>
      <c r="AT25" s="34">
        <f t="shared" si="1"/>
        <v>0</v>
      </c>
      <c r="AU25" s="35" t="s">
        <v>42</v>
      </c>
      <c r="AV25" s="36"/>
      <c r="AW25" s="36"/>
      <c r="AX25" s="36"/>
      <c r="AY25" s="36"/>
      <c r="AZ25" s="36"/>
    </row>
    <row r="26" spans="1:52" ht="33.75" customHeight="1" x14ac:dyDescent="0.2">
      <c r="A26" s="128" t="s">
        <v>52</v>
      </c>
      <c r="B26" s="126"/>
      <c r="C26" s="127"/>
      <c r="D26" s="39"/>
      <c r="E26" s="30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2">
        <f t="shared" si="0"/>
        <v>0</v>
      </c>
      <c r="AS26" s="33">
        <v>82</v>
      </c>
      <c r="AT26" s="34">
        <f t="shared" si="1"/>
        <v>0</v>
      </c>
      <c r="AU26" s="35" t="s">
        <v>42</v>
      </c>
      <c r="AV26" s="36"/>
      <c r="AW26" s="36"/>
      <c r="AX26" s="36"/>
      <c r="AY26" s="36"/>
      <c r="AZ26" s="36"/>
    </row>
    <row r="27" spans="1:52" ht="33.75" customHeight="1" x14ac:dyDescent="0.2">
      <c r="A27" s="125" t="s">
        <v>53</v>
      </c>
      <c r="B27" s="126"/>
      <c r="C27" s="127"/>
      <c r="D27" s="40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2">
        <f t="shared" si="0"/>
        <v>0</v>
      </c>
      <c r="AS27" s="33">
        <v>95</v>
      </c>
      <c r="AT27" s="34">
        <f t="shared" si="1"/>
        <v>0</v>
      </c>
      <c r="AU27" s="35" t="s">
        <v>42</v>
      </c>
      <c r="AV27" s="36"/>
      <c r="AW27" s="36"/>
      <c r="AX27" s="36"/>
      <c r="AY27" s="36"/>
      <c r="AZ27" s="36"/>
    </row>
    <row r="28" spans="1:52" ht="33.75" customHeight="1" x14ac:dyDescent="0.2">
      <c r="A28" s="128" t="s">
        <v>54</v>
      </c>
      <c r="B28" s="126"/>
      <c r="C28" s="127"/>
      <c r="D28" s="39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2">
        <f t="shared" si="0"/>
        <v>0</v>
      </c>
      <c r="AS28" s="33">
        <v>10</v>
      </c>
      <c r="AT28" s="34">
        <f t="shared" si="1"/>
        <v>0</v>
      </c>
      <c r="AU28" s="35" t="s">
        <v>42</v>
      </c>
      <c r="AV28" s="36"/>
      <c r="AW28" s="36"/>
      <c r="AX28" s="36"/>
      <c r="AY28" s="36"/>
      <c r="AZ28" s="36"/>
    </row>
    <row r="29" spans="1:52" ht="33.75" customHeight="1" x14ac:dyDescent="0.2">
      <c r="A29" s="125" t="s">
        <v>55</v>
      </c>
      <c r="B29" s="126"/>
      <c r="C29" s="127"/>
      <c r="D29" s="40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2">
        <f t="shared" si="0"/>
        <v>0</v>
      </c>
      <c r="AS29" s="33">
        <v>25</v>
      </c>
      <c r="AT29" s="34">
        <f t="shared" si="1"/>
        <v>0</v>
      </c>
      <c r="AU29" s="35" t="s">
        <v>42</v>
      </c>
      <c r="AV29" s="36"/>
      <c r="AW29" s="36"/>
      <c r="AX29" s="36"/>
      <c r="AY29" s="36"/>
      <c r="AZ29" s="36"/>
    </row>
    <row r="30" spans="1:52" ht="33.75" customHeight="1" x14ac:dyDescent="0.2">
      <c r="A30" s="128" t="s">
        <v>56</v>
      </c>
      <c r="B30" s="126"/>
      <c r="C30" s="127"/>
      <c r="D30" s="39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2">
        <f t="shared" si="0"/>
        <v>0</v>
      </c>
      <c r="AS30" s="33">
        <v>1481</v>
      </c>
      <c r="AT30" s="34">
        <f t="shared" si="1"/>
        <v>0</v>
      </c>
      <c r="AU30" s="35" t="s">
        <v>42</v>
      </c>
      <c r="AV30" s="36"/>
      <c r="AW30" s="36"/>
      <c r="AX30" s="36"/>
      <c r="AY30" s="36"/>
      <c r="AZ30" s="36"/>
    </row>
    <row r="31" spans="1:52" ht="33.75" customHeight="1" x14ac:dyDescent="0.2">
      <c r="A31" s="125" t="s">
        <v>57</v>
      </c>
      <c r="B31" s="126"/>
      <c r="C31" s="127"/>
      <c r="D31" s="40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2">
        <f t="shared" si="0"/>
        <v>0</v>
      </c>
      <c r="AS31" s="33">
        <v>2180</v>
      </c>
      <c r="AT31" s="34">
        <f t="shared" si="1"/>
        <v>0</v>
      </c>
      <c r="AU31" s="35" t="s">
        <v>42</v>
      </c>
      <c r="AV31" s="36"/>
      <c r="AW31" s="36"/>
      <c r="AX31" s="36"/>
      <c r="AY31" s="36"/>
      <c r="AZ31" s="36"/>
    </row>
    <row r="32" spans="1:52" ht="33.75" customHeight="1" x14ac:dyDescent="0.2">
      <c r="A32" s="128" t="s">
        <v>58</v>
      </c>
      <c r="B32" s="126"/>
      <c r="C32" s="127"/>
      <c r="D32" s="39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41">
        <f t="shared" si="0"/>
        <v>0</v>
      </c>
      <c r="AS32" s="42">
        <v>250</v>
      </c>
      <c r="AT32" s="34">
        <f t="shared" si="1"/>
        <v>0</v>
      </c>
      <c r="AU32" s="35" t="s">
        <v>42</v>
      </c>
      <c r="AV32" s="43"/>
      <c r="AW32" s="43"/>
      <c r="AX32" s="43"/>
      <c r="AY32" s="43"/>
      <c r="AZ32" s="43"/>
    </row>
    <row r="33" spans="1:52" ht="33.75" customHeight="1" x14ac:dyDescent="0.2">
      <c r="A33" s="125" t="s">
        <v>59</v>
      </c>
      <c r="B33" s="126"/>
      <c r="C33" s="127"/>
      <c r="D33" s="40"/>
      <c r="E33" s="38"/>
      <c r="F33" s="38"/>
      <c r="G33" s="38"/>
      <c r="H33" s="37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2">
        <f t="shared" si="0"/>
        <v>0</v>
      </c>
      <c r="AS33" s="33">
        <v>355</v>
      </c>
      <c r="AT33" s="34">
        <f t="shared" si="1"/>
        <v>0</v>
      </c>
      <c r="AU33" s="35" t="s">
        <v>42</v>
      </c>
      <c r="AV33" s="36"/>
      <c r="AW33" s="36"/>
      <c r="AX33" s="36"/>
      <c r="AY33" s="36"/>
      <c r="AZ33" s="36"/>
    </row>
    <row r="34" spans="1:52" ht="33.75" customHeight="1" x14ac:dyDescent="0.2">
      <c r="A34" s="128" t="s">
        <v>60</v>
      </c>
      <c r="B34" s="126"/>
      <c r="C34" s="127"/>
      <c r="D34" s="39"/>
      <c r="E34" s="31"/>
      <c r="F34" s="31"/>
      <c r="G34" s="31"/>
      <c r="H34" s="30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2">
        <f t="shared" si="0"/>
        <v>0</v>
      </c>
      <c r="AS34" s="33">
        <v>150</v>
      </c>
      <c r="AT34" s="34">
        <f t="shared" si="1"/>
        <v>0</v>
      </c>
      <c r="AU34" s="35" t="s">
        <v>42</v>
      </c>
      <c r="AV34" s="36"/>
      <c r="AW34" s="36"/>
      <c r="AX34" s="36"/>
      <c r="AY34" s="36"/>
      <c r="AZ34" s="36"/>
    </row>
    <row r="35" spans="1:52" ht="33.75" customHeight="1" x14ac:dyDescent="0.2">
      <c r="A35" s="125" t="s">
        <v>61</v>
      </c>
      <c r="B35" s="126"/>
      <c r="C35" s="127"/>
      <c r="D35" s="40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2">
        <f t="shared" si="0"/>
        <v>0</v>
      </c>
      <c r="AS35" s="33">
        <v>350</v>
      </c>
      <c r="AT35" s="34">
        <f t="shared" si="1"/>
        <v>0</v>
      </c>
      <c r="AU35" s="35" t="s">
        <v>42</v>
      </c>
      <c r="AV35" s="36"/>
      <c r="AW35" s="36"/>
      <c r="AX35" s="36"/>
      <c r="AY35" s="36"/>
      <c r="AZ35" s="36"/>
    </row>
    <row r="36" spans="1:52" ht="33.75" customHeight="1" x14ac:dyDescent="0.2">
      <c r="A36" s="129" t="s">
        <v>62</v>
      </c>
      <c r="B36" s="126"/>
      <c r="C36" s="127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32">
        <f t="shared" si="0"/>
        <v>0</v>
      </c>
      <c r="AS36" s="33">
        <v>395</v>
      </c>
      <c r="AT36" s="34">
        <f t="shared" si="1"/>
        <v>0</v>
      </c>
      <c r="AU36" s="35" t="s">
        <v>42</v>
      </c>
      <c r="AV36" s="36"/>
      <c r="AW36" s="36"/>
      <c r="AX36" s="36"/>
      <c r="AY36" s="36"/>
      <c r="AZ36" s="36"/>
    </row>
    <row r="37" spans="1:52" ht="33.75" customHeight="1" x14ac:dyDescent="0.2">
      <c r="A37" s="130" t="s">
        <v>63</v>
      </c>
      <c r="B37" s="126"/>
      <c r="C37" s="127"/>
      <c r="D37" s="46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32">
        <f t="shared" si="0"/>
        <v>0</v>
      </c>
      <c r="AS37" s="33">
        <v>440</v>
      </c>
      <c r="AT37" s="34">
        <f t="shared" si="1"/>
        <v>0</v>
      </c>
      <c r="AU37" s="35" t="s">
        <v>42</v>
      </c>
      <c r="AV37" s="36"/>
      <c r="AW37" s="36"/>
      <c r="AX37" s="36"/>
      <c r="AY37" s="36"/>
      <c r="AZ37" s="36"/>
    </row>
    <row r="38" spans="1:52" ht="33.75" customHeight="1" x14ac:dyDescent="0.2">
      <c r="A38" s="131" t="s">
        <v>64</v>
      </c>
      <c r="B38" s="126"/>
      <c r="C38" s="127"/>
      <c r="D38" s="48"/>
      <c r="E38" s="49"/>
      <c r="F38" s="49"/>
      <c r="G38" s="49"/>
      <c r="H38" s="50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51"/>
      <c r="AR38" s="32">
        <f t="shared" si="0"/>
        <v>0</v>
      </c>
      <c r="AS38" s="33">
        <v>550</v>
      </c>
      <c r="AT38" s="34">
        <f t="shared" si="1"/>
        <v>0</v>
      </c>
      <c r="AU38" s="35" t="s">
        <v>42</v>
      </c>
      <c r="AV38" s="36"/>
      <c r="AW38" s="36"/>
      <c r="AX38" s="36"/>
      <c r="AY38" s="36"/>
      <c r="AZ38" s="36"/>
    </row>
    <row r="39" spans="1:52" ht="33.75" customHeight="1" x14ac:dyDescent="0.2">
      <c r="A39" s="132" t="s">
        <v>65</v>
      </c>
      <c r="B39" s="126"/>
      <c r="C39" s="106"/>
      <c r="D39" s="52"/>
      <c r="E39" s="53"/>
      <c r="F39" s="53"/>
      <c r="G39" s="53"/>
      <c r="H39" s="53"/>
      <c r="I39" s="54"/>
      <c r="J39" s="54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5">
        <f t="shared" si="0"/>
        <v>0</v>
      </c>
      <c r="AS39" s="33">
        <v>600</v>
      </c>
      <c r="AT39" s="34">
        <f t="shared" si="1"/>
        <v>0</v>
      </c>
      <c r="AU39" s="35" t="s">
        <v>42</v>
      </c>
      <c r="AV39" s="36"/>
      <c r="AW39" s="36"/>
      <c r="AX39" s="36"/>
      <c r="AY39" s="36"/>
      <c r="AZ39" s="36"/>
    </row>
    <row r="40" spans="1:52" ht="33.75" customHeight="1" x14ac:dyDescent="0.2">
      <c r="A40" s="133" t="s">
        <v>66</v>
      </c>
      <c r="B40" s="126"/>
      <c r="C40" s="127"/>
      <c r="D40" s="56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32">
        <f t="shared" si="0"/>
        <v>0</v>
      </c>
      <c r="AS40" s="33">
        <v>650</v>
      </c>
      <c r="AT40" s="34">
        <f t="shared" si="1"/>
        <v>0</v>
      </c>
      <c r="AU40" s="35" t="s">
        <v>42</v>
      </c>
      <c r="AV40" s="36"/>
      <c r="AW40" s="36"/>
      <c r="AX40" s="36"/>
      <c r="AY40" s="36"/>
      <c r="AZ40" s="36"/>
    </row>
    <row r="41" spans="1:52" ht="33.75" customHeight="1" x14ac:dyDescent="0.2">
      <c r="A41" s="134" t="s">
        <v>67</v>
      </c>
      <c r="B41" s="126"/>
      <c r="C41" s="106"/>
      <c r="D41" s="58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5">
        <f t="shared" si="0"/>
        <v>0</v>
      </c>
      <c r="AS41" s="33">
        <v>700</v>
      </c>
      <c r="AT41" s="34">
        <f t="shared" si="1"/>
        <v>0</v>
      </c>
      <c r="AU41" s="35" t="s">
        <v>42</v>
      </c>
      <c r="AV41" s="36"/>
      <c r="AW41" s="36"/>
      <c r="AX41" s="36"/>
      <c r="AY41" s="36"/>
      <c r="AZ41" s="36"/>
    </row>
    <row r="42" spans="1:52" ht="33.75" customHeight="1" x14ac:dyDescent="0.2">
      <c r="A42" s="135" t="s">
        <v>68</v>
      </c>
      <c r="B42" s="126"/>
      <c r="C42" s="106"/>
      <c r="D42" s="60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55">
        <f t="shared" si="0"/>
        <v>0</v>
      </c>
      <c r="AS42" s="33">
        <v>825</v>
      </c>
      <c r="AT42" s="34">
        <f t="shared" si="1"/>
        <v>0</v>
      </c>
      <c r="AU42" s="35" t="s">
        <v>42</v>
      </c>
      <c r="AV42" s="36"/>
      <c r="AW42" s="36"/>
      <c r="AX42" s="36"/>
      <c r="AY42" s="36"/>
      <c r="AZ42" s="36"/>
    </row>
    <row r="43" spans="1:52" ht="33.75" customHeight="1" x14ac:dyDescent="0.2">
      <c r="A43" s="136" t="s">
        <v>69</v>
      </c>
      <c r="B43" s="126"/>
      <c r="C43" s="127"/>
      <c r="D43" s="40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62"/>
      <c r="AR43" s="55">
        <f t="shared" si="0"/>
        <v>0</v>
      </c>
      <c r="AS43" s="33">
        <v>300</v>
      </c>
      <c r="AT43" s="34">
        <f t="shared" si="1"/>
        <v>0</v>
      </c>
      <c r="AU43" s="35" t="s">
        <v>42</v>
      </c>
      <c r="AV43" s="36"/>
      <c r="AW43" s="36"/>
      <c r="AX43" s="36"/>
      <c r="AY43" s="36"/>
      <c r="AZ43" s="36"/>
    </row>
    <row r="44" spans="1:52" ht="42" customHeight="1" x14ac:dyDescent="0.2">
      <c r="A44" s="137" t="s">
        <v>70</v>
      </c>
      <c r="B44" s="109"/>
      <c r="C44" s="109"/>
      <c r="D44" s="63"/>
      <c r="E44" s="64"/>
      <c r="F44" s="64"/>
      <c r="G44" s="64"/>
      <c r="H44" s="63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32">
        <f t="shared" si="0"/>
        <v>0</v>
      </c>
      <c r="AS44" s="65">
        <v>31</v>
      </c>
      <c r="AT44" s="34">
        <f t="shared" si="1"/>
        <v>0</v>
      </c>
      <c r="AU44" s="35" t="s">
        <v>42</v>
      </c>
      <c r="AV44" s="36"/>
      <c r="AW44" s="36"/>
      <c r="AX44" s="36"/>
      <c r="AY44" s="36"/>
      <c r="AZ44" s="36"/>
    </row>
    <row r="45" spans="1:52" ht="33.75" customHeight="1" x14ac:dyDescent="0.2">
      <c r="A45" s="136" t="s">
        <v>71</v>
      </c>
      <c r="B45" s="126"/>
      <c r="C45" s="127"/>
      <c r="D45" s="40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62"/>
      <c r="AR45" s="32">
        <f t="shared" si="0"/>
        <v>0</v>
      </c>
      <c r="AS45" s="65">
        <v>15</v>
      </c>
      <c r="AT45" s="34">
        <f t="shared" si="1"/>
        <v>0</v>
      </c>
      <c r="AU45" s="35" t="s">
        <v>42</v>
      </c>
      <c r="AV45" s="36"/>
      <c r="AW45" s="36"/>
      <c r="AX45" s="36"/>
      <c r="AY45" s="36"/>
      <c r="AZ45" s="36"/>
    </row>
    <row r="46" spans="1:52" ht="33.75" customHeight="1" x14ac:dyDescent="0.2">
      <c r="A46" s="138" t="s">
        <v>72</v>
      </c>
      <c r="B46" s="126"/>
      <c r="C46" s="127"/>
      <c r="D46" s="39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66"/>
      <c r="AJ46" s="31"/>
      <c r="AK46" s="31"/>
      <c r="AL46" s="31"/>
      <c r="AM46" s="31"/>
      <c r="AN46" s="31"/>
      <c r="AO46" s="31"/>
      <c r="AP46" s="31"/>
      <c r="AQ46" s="31"/>
      <c r="AR46" s="32">
        <f t="shared" si="0"/>
        <v>0</v>
      </c>
      <c r="AS46" s="65">
        <v>25</v>
      </c>
      <c r="AT46" s="34">
        <f t="shared" si="1"/>
        <v>0</v>
      </c>
      <c r="AU46" s="35" t="s">
        <v>42</v>
      </c>
      <c r="AV46" s="36"/>
      <c r="AW46" s="36"/>
      <c r="AX46" s="36"/>
      <c r="AY46" s="36"/>
      <c r="AZ46" s="36"/>
    </row>
    <row r="47" spans="1:52" ht="33.75" customHeight="1" x14ac:dyDescent="0.2">
      <c r="A47" s="136" t="s">
        <v>73</v>
      </c>
      <c r="B47" s="126"/>
      <c r="C47" s="127"/>
      <c r="D47" s="40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2">
        <f t="shared" si="0"/>
        <v>0</v>
      </c>
      <c r="AS47" s="65">
        <v>150</v>
      </c>
      <c r="AT47" s="34">
        <f t="shared" si="1"/>
        <v>0</v>
      </c>
      <c r="AU47" s="35" t="s">
        <v>42</v>
      </c>
      <c r="AV47" s="36"/>
      <c r="AW47" s="36"/>
      <c r="AX47" s="36"/>
      <c r="AY47" s="36"/>
      <c r="AZ47" s="36"/>
    </row>
    <row r="48" spans="1:52" ht="33.75" customHeight="1" x14ac:dyDescent="0.2">
      <c r="A48" s="138" t="s">
        <v>74</v>
      </c>
      <c r="B48" s="126"/>
      <c r="C48" s="127"/>
      <c r="D48" s="39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2">
        <f t="shared" si="0"/>
        <v>0</v>
      </c>
      <c r="AS48" s="65">
        <v>1465</v>
      </c>
      <c r="AT48" s="34">
        <f t="shared" si="1"/>
        <v>0</v>
      </c>
      <c r="AU48" s="35" t="s">
        <v>42</v>
      </c>
      <c r="AV48" s="36"/>
      <c r="AW48" s="36"/>
      <c r="AX48" s="36"/>
      <c r="AY48" s="36"/>
      <c r="AZ48" s="36"/>
    </row>
    <row r="49" spans="1:52" ht="33.75" customHeight="1" x14ac:dyDescent="0.2">
      <c r="A49" s="136" t="s">
        <v>75</v>
      </c>
      <c r="B49" s="126"/>
      <c r="C49" s="127"/>
      <c r="D49" s="40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2">
        <f t="shared" si="0"/>
        <v>0</v>
      </c>
      <c r="AS49" s="65">
        <v>1565</v>
      </c>
      <c r="AT49" s="34">
        <f t="shared" si="1"/>
        <v>0</v>
      </c>
      <c r="AU49" s="35" t="s">
        <v>42</v>
      </c>
      <c r="AV49" s="36"/>
      <c r="AW49" s="36"/>
      <c r="AX49" s="36"/>
      <c r="AY49" s="36"/>
      <c r="AZ49" s="36"/>
    </row>
    <row r="50" spans="1:52" ht="33.75" customHeight="1" x14ac:dyDescent="0.2">
      <c r="A50" s="140" t="s">
        <v>76</v>
      </c>
      <c r="B50" s="126"/>
      <c r="C50" s="106"/>
      <c r="D50" s="67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55">
        <f t="shared" si="0"/>
        <v>0</v>
      </c>
      <c r="AS50" s="65">
        <v>1885</v>
      </c>
      <c r="AT50" s="34">
        <f t="shared" si="1"/>
        <v>0</v>
      </c>
      <c r="AU50" s="35" t="s">
        <v>42</v>
      </c>
      <c r="AV50" s="36"/>
      <c r="AW50" s="36"/>
      <c r="AX50" s="36"/>
      <c r="AY50" s="36"/>
      <c r="AZ50" s="36"/>
    </row>
    <row r="51" spans="1:52" ht="33.75" customHeight="1" x14ac:dyDescent="0.2">
      <c r="A51" s="69"/>
      <c r="B51" s="70"/>
      <c r="C51" s="70"/>
      <c r="D51" s="71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139"/>
      <c r="R51" s="126"/>
      <c r="S51" s="126"/>
      <c r="T51" s="126"/>
      <c r="U51" s="126"/>
      <c r="V51" s="126"/>
      <c r="W51" s="126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2"/>
      <c r="AR51" s="73"/>
      <c r="AS51" s="74"/>
      <c r="AT51" s="73"/>
      <c r="AU51" s="75"/>
      <c r="AV51" s="36"/>
      <c r="AW51" s="36"/>
      <c r="AX51" s="36"/>
      <c r="AY51" s="36"/>
      <c r="AZ51" s="36"/>
    </row>
    <row r="52" spans="1:52" ht="33.75" customHeight="1" x14ac:dyDescent="0.2">
      <c r="A52" s="141" t="s">
        <v>77</v>
      </c>
      <c r="B52" s="126"/>
      <c r="C52" s="126"/>
      <c r="D52" s="40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2">
        <f t="shared" ref="AR52:AR63" si="2">SUM(D52:AQ52)</f>
        <v>0</v>
      </c>
      <c r="AS52" s="33">
        <v>360</v>
      </c>
      <c r="AT52" s="76" t="s">
        <v>42</v>
      </c>
      <c r="AU52" s="77">
        <f t="shared" ref="AU52:AU63" si="3">AR52*AS52</f>
        <v>0</v>
      </c>
      <c r="AV52" s="36"/>
      <c r="AW52" s="36"/>
      <c r="AX52" s="36"/>
      <c r="AY52" s="36"/>
      <c r="AZ52" s="36"/>
    </row>
    <row r="53" spans="1:52" ht="52.5" customHeight="1" x14ac:dyDescent="0.2">
      <c r="A53" s="142" t="s">
        <v>78</v>
      </c>
      <c r="B53" s="126"/>
      <c r="C53" s="127"/>
      <c r="D53" s="30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2">
        <f t="shared" si="2"/>
        <v>0</v>
      </c>
      <c r="AS53" s="33">
        <v>315</v>
      </c>
      <c r="AT53" s="76" t="s">
        <v>42</v>
      </c>
      <c r="AU53" s="77">
        <f t="shared" si="3"/>
        <v>0</v>
      </c>
      <c r="AV53" s="36"/>
      <c r="AW53" s="36"/>
      <c r="AX53" s="36"/>
      <c r="AY53" s="36"/>
      <c r="AZ53" s="36"/>
    </row>
    <row r="54" spans="1:52" ht="52.5" customHeight="1" x14ac:dyDescent="0.2">
      <c r="A54" s="143" t="s">
        <v>79</v>
      </c>
      <c r="B54" s="126"/>
      <c r="C54" s="127"/>
      <c r="D54" s="37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2">
        <f t="shared" si="2"/>
        <v>0</v>
      </c>
      <c r="AS54" s="33">
        <v>365</v>
      </c>
      <c r="AT54" s="76" t="s">
        <v>42</v>
      </c>
      <c r="AU54" s="77">
        <f t="shared" si="3"/>
        <v>0</v>
      </c>
      <c r="AV54" s="36"/>
      <c r="AW54" s="36"/>
      <c r="AX54" s="36"/>
      <c r="AY54" s="36"/>
      <c r="AZ54" s="36"/>
    </row>
    <row r="55" spans="1:52" ht="33.75" customHeight="1" x14ac:dyDescent="0.2">
      <c r="A55" s="144" t="s">
        <v>80</v>
      </c>
      <c r="B55" s="126"/>
      <c r="C55" s="127"/>
      <c r="D55" s="30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2">
        <f t="shared" si="2"/>
        <v>0</v>
      </c>
      <c r="AS55" s="33">
        <v>300</v>
      </c>
      <c r="AT55" s="76" t="s">
        <v>42</v>
      </c>
      <c r="AU55" s="77">
        <f t="shared" si="3"/>
        <v>0</v>
      </c>
      <c r="AV55" s="36"/>
      <c r="AW55" s="36"/>
      <c r="AX55" s="36"/>
      <c r="AY55" s="36"/>
      <c r="AZ55" s="36"/>
    </row>
    <row r="56" spans="1:52" ht="33.75" customHeight="1" x14ac:dyDescent="0.2">
      <c r="A56" s="141" t="s">
        <v>81</v>
      </c>
      <c r="B56" s="126"/>
      <c r="C56" s="127"/>
      <c r="D56" s="37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62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62"/>
      <c r="AR56" s="32">
        <f t="shared" si="2"/>
        <v>0</v>
      </c>
      <c r="AS56" s="65">
        <v>140</v>
      </c>
      <c r="AT56" s="76" t="s">
        <v>42</v>
      </c>
      <c r="AU56" s="77">
        <f t="shared" si="3"/>
        <v>0</v>
      </c>
      <c r="AV56" s="36"/>
      <c r="AW56" s="36"/>
      <c r="AX56" s="36"/>
      <c r="AY56" s="36"/>
      <c r="AZ56" s="36"/>
    </row>
    <row r="57" spans="1:52" ht="33.75" customHeight="1" x14ac:dyDescent="0.2">
      <c r="A57" s="144" t="s">
        <v>82</v>
      </c>
      <c r="B57" s="126"/>
      <c r="C57" s="127"/>
      <c r="D57" s="30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2">
        <f t="shared" si="2"/>
        <v>0</v>
      </c>
      <c r="AS57" s="65">
        <v>120</v>
      </c>
      <c r="AT57" s="76" t="s">
        <v>42</v>
      </c>
      <c r="AU57" s="77">
        <f t="shared" si="3"/>
        <v>0</v>
      </c>
      <c r="AV57" s="36"/>
      <c r="AW57" s="36"/>
      <c r="AX57" s="36"/>
      <c r="AY57" s="36"/>
      <c r="AZ57" s="36"/>
    </row>
    <row r="58" spans="1:52" ht="33.75" customHeight="1" x14ac:dyDescent="0.2">
      <c r="A58" s="141" t="s">
        <v>83</v>
      </c>
      <c r="B58" s="126"/>
      <c r="C58" s="127"/>
      <c r="D58" s="37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2">
        <f t="shared" si="2"/>
        <v>0</v>
      </c>
      <c r="AS58" s="65">
        <v>110</v>
      </c>
      <c r="AT58" s="76" t="s">
        <v>42</v>
      </c>
      <c r="AU58" s="77">
        <f t="shared" si="3"/>
        <v>0</v>
      </c>
      <c r="AV58" s="36"/>
      <c r="AW58" s="36"/>
      <c r="AX58" s="36"/>
      <c r="AY58" s="36"/>
      <c r="AZ58" s="36"/>
    </row>
    <row r="59" spans="1:52" ht="33.75" customHeight="1" x14ac:dyDescent="0.2">
      <c r="A59" s="144" t="s">
        <v>84</v>
      </c>
      <c r="B59" s="126"/>
      <c r="C59" s="127"/>
      <c r="D59" s="30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66"/>
      <c r="AB59" s="66"/>
      <c r="AC59" s="66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2">
        <f t="shared" si="2"/>
        <v>0</v>
      </c>
      <c r="AS59" s="65">
        <v>300</v>
      </c>
      <c r="AT59" s="76" t="s">
        <v>42</v>
      </c>
      <c r="AU59" s="77">
        <f t="shared" si="3"/>
        <v>0</v>
      </c>
      <c r="AV59" s="36"/>
      <c r="AW59" s="36"/>
      <c r="AX59" s="36"/>
      <c r="AY59" s="36"/>
      <c r="AZ59" s="36"/>
    </row>
    <row r="60" spans="1:52" ht="33.75" customHeight="1" x14ac:dyDescent="0.2">
      <c r="A60" s="141" t="s">
        <v>85</v>
      </c>
      <c r="B60" s="126"/>
      <c r="C60" s="127"/>
      <c r="D60" s="37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62"/>
      <c r="AB60" s="62"/>
      <c r="AC60" s="62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2">
        <f t="shared" si="2"/>
        <v>0</v>
      </c>
      <c r="AS60" s="65">
        <v>400</v>
      </c>
      <c r="AT60" s="76" t="s">
        <v>42</v>
      </c>
      <c r="AU60" s="77">
        <f t="shared" si="3"/>
        <v>0</v>
      </c>
      <c r="AV60" s="36"/>
      <c r="AW60" s="36"/>
      <c r="AX60" s="36"/>
      <c r="AY60" s="36"/>
      <c r="AZ60" s="36"/>
    </row>
    <row r="61" spans="1:52" ht="57" customHeight="1" x14ac:dyDescent="0.2">
      <c r="A61" s="149" t="s">
        <v>86</v>
      </c>
      <c r="B61" s="126"/>
      <c r="C61" s="126"/>
      <c r="D61" s="30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66"/>
      <c r="AK61" s="31"/>
      <c r="AL61" s="31"/>
      <c r="AM61" s="31"/>
      <c r="AN61" s="31"/>
      <c r="AO61" s="31"/>
      <c r="AP61" s="31"/>
      <c r="AQ61" s="31"/>
      <c r="AR61" s="32">
        <f t="shared" si="2"/>
        <v>0</v>
      </c>
      <c r="AS61" s="33">
        <v>355</v>
      </c>
      <c r="AT61" s="76" t="s">
        <v>42</v>
      </c>
      <c r="AU61" s="77">
        <f t="shared" si="3"/>
        <v>0</v>
      </c>
      <c r="AV61" s="36"/>
      <c r="AW61" s="36"/>
      <c r="AX61" s="36"/>
      <c r="AY61" s="36"/>
      <c r="AZ61" s="36"/>
    </row>
    <row r="62" spans="1:52" ht="57" customHeight="1" x14ac:dyDescent="0.2">
      <c r="A62" s="150" t="s">
        <v>87</v>
      </c>
      <c r="B62" s="126"/>
      <c r="C62" s="126"/>
      <c r="D62" s="37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62"/>
      <c r="AK62" s="38"/>
      <c r="AL62" s="38"/>
      <c r="AM62" s="38"/>
      <c r="AN62" s="38"/>
      <c r="AO62" s="38"/>
      <c r="AP62" s="38"/>
      <c r="AQ62" s="38"/>
      <c r="AR62" s="32">
        <f t="shared" si="2"/>
        <v>0</v>
      </c>
      <c r="AS62" s="33">
        <v>150</v>
      </c>
      <c r="AT62" s="76" t="s">
        <v>42</v>
      </c>
      <c r="AU62" s="77">
        <f t="shared" si="3"/>
        <v>0</v>
      </c>
      <c r="AV62" s="36"/>
      <c r="AW62" s="36"/>
      <c r="AX62" s="36"/>
      <c r="AY62" s="36"/>
      <c r="AZ62" s="36"/>
    </row>
    <row r="63" spans="1:52" ht="33.75" customHeight="1" x14ac:dyDescent="0.2">
      <c r="A63" s="144" t="s">
        <v>88</v>
      </c>
      <c r="B63" s="126"/>
      <c r="C63" s="127"/>
      <c r="D63" s="39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66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66"/>
      <c r="AR63" s="32">
        <f t="shared" si="2"/>
        <v>0</v>
      </c>
      <c r="AS63" s="33">
        <v>480</v>
      </c>
      <c r="AT63" s="76" t="s">
        <v>42</v>
      </c>
      <c r="AU63" s="77">
        <f t="shared" si="3"/>
        <v>0</v>
      </c>
      <c r="AV63" s="36"/>
      <c r="AW63" s="36"/>
      <c r="AX63" s="36"/>
      <c r="AY63" s="36"/>
      <c r="AZ63" s="36"/>
    </row>
    <row r="64" spans="1:52" ht="15.75" customHeight="1" x14ac:dyDescent="0.2"/>
    <row r="65" spans="1:52" ht="34.5" customHeight="1" x14ac:dyDescent="0.4">
      <c r="A65" s="151"/>
      <c r="B65" s="146"/>
      <c r="C65" s="146"/>
      <c r="D65" s="78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145" t="s">
        <v>89</v>
      </c>
      <c r="AN65" s="146"/>
      <c r="AO65" s="146"/>
      <c r="AP65" s="146"/>
      <c r="AQ65" s="147"/>
      <c r="AR65" s="80"/>
      <c r="AS65" s="80"/>
      <c r="AT65" s="81">
        <f>SUM(AT16:AT50)</f>
        <v>0</v>
      </c>
      <c r="AU65" s="82"/>
      <c r="AV65" s="10"/>
      <c r="AW65" s="10"/>
      <c r="AX65" s="10"/>
      <c r="AY65" s="10"/>
      <c r="AZ65" s="10"/>
    </row>
    <row r="66" spans="1:52" ht="34.5" customHeight="1" x14ac:dyDescent="0.4">
      <c r="A66" s="83"/>
      <c r="B66" s="78"/>
      <c r="C66" s="78"/>
      <c r="D66" s="78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145" t="s">
        <v>90</v>
      </c>
      <c r="AN66" s="146"/>
      <c r="AO66" s="146"/>
      <c r="AP66" s="146"/>
      <c r="AQ66" s="147"/>
      <c r="AR66" s="80"/>
      <c r="AS66" s="80"/>
      <c r="AT66" s="84"/>
      <c r="AU66" s="85">
        <f>SUM(AU16:AU63)</f>
        <v>0</v>
      </c>
      <c r="AV66" s="10"/>
      <c r="AW66" s="10"/>
      <c r="AX66" s="10"/>
      <c r="AY66" s="10"/>
      <c r="AZ66" s="10"/>
    </row>
    <row r="67" spans="1:52" ht="34.5" customHeight="1" x14ac:dyDescent="0.4">
      <c r="A67" s="86"/>
      <c r="B67" s="78"/>
      <c r="C67" s="78"/>
      <c r="D67" s="78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78"/>
      <c r="AN67" s="78"/>
      <c r="AO67" s="78"/>
      <c r="AP67" s="78"/>
      <c r="AQ67" s="88"/>
      <c r="AR67" s="80"/>
      <c r="AS67" s="89"/>
      <c r="AT67" s="84"/>
      <c r="AU67" s="82"/>
      <c r="AV67" s="10"/>
      <c r="AW67" s="10"/>
      <c r="AX67" s="10"/>
      <c r="AY67" s="10"/>
      <c r="AZ67" s="10"/>
    </row>
    <row r="68" spans="1:52" ht="34.5" customHeight="1" x14ac:dyDescent="0.4">
      <c r="A68" s="90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2" t="s">
        <v>91</v>
      </c>
      <c r="AR68" s="93"/>
      <c r="AS68" s="94"/>
      <c r="AT68" s="93"/>
      <c r="AU68" s="95">
        <f>SUM(AT65+AU66)</f>
        <v>0</v>
      </c>
      <c r="AV68" s="10"/>
      <c r="AW68" s="10"/>
      <c r="AX68" s="10"/>
      <c r="AY68" s="10"/>
      <c r="AZ68" s="10"/>
    </row>
    <row r="69" spans="1:52" ht="13.5" customHeight="1" x14ac:dyDescent="0.2">
      <c r="A69" s="96"/>
      <c r="C69" s="10"/>
      <c r="D69" s="10"/>
      <c r="AA69" s="148"/>
      <c r="AB69" s="109"/>
      <c r="AC69" s="109"/>
      <c r="AD69" s="109"/>
      <c r="AE69" s="109"/>
      <c r="AF69" s="109"/>
      <c r="AG69" s="109"/>
      <c r="AH69" s="109"/>
      <c r="AI69" s="109"/>
      <c r="AJ69" s="97"/>
      <c r="AK69" s="97"/>
      <c r="AL69" s="97"/>
      <c r="AM69" s="97"/>
      <c r="AN69" s="97"/>
      <c r="AO69" s="97"/>
      <c r="AP69" s="97"/>
      <c r="AQ69" s="97"/>
      <c r="AR69" s="10"/>
      <c r="AS69" s="10"/>
      <c r="AT69" s="10"/>
      <c r="AU69" s="10"/>
      <c r="AV69" s="10"/>
      <c r="AW69" s="10"/>
      <c r="AX69" s="10"/>
      <c r="AY69" s="10"/>
      <c r="AZ69" s="10"/>
    </row>
    <row r="70" spans="1:52" ht="12.75" customHeight="1" x14ac:dyDescent="0.2">
      <c r="A70" s="98"/>
      <c r="C70" s="10"/>
      <c r="D70" s="10"/>
      <c r="AR70" s="10"/>
      <c r="AS70" s="10"/>
      <c r="AT70" s="10"/>
      <c r="AU70" s="10"/>
      <c r="AV70" s="10"/>
      <c r="AW70" s="10"/>
      <c r="AX70" s="10"/>
      <c r="AY70" s="10"/>
      <c r="AZ70" s="10"/>
    </row>
    <row r="71" spans="1:52" ht="12.75" customHeight="1" x14ac:dyDescent="0.2">
      <c r="C71" s="10"/>
      <c r="D71" s="10"/>
      <c r="AR71" s="10"/>
      <c r="AS71" s="10"/>
      <c r="AT71" s="10"/>
      <c r="AU71" s="10"/>
      <c r="AV71" s="10"/>
      <c r="AW71" s="10"/>
      <c r="AX71" s="10"/>
      <c r="AY71" s="10"/>
      <c r="AZ71" s="10"/>
    </row>
    <row r="72" spans="1:52" ht="15.75" customHeight="1" x14ac:dyDescent="0.2"/>
    <row r="73" spans="1:52" ht="15.75" customHeight="1" x14ac:dyDescent="0.2"/>
    <row r="74" spans="1:52" ht="15.75" customHeight="1" x14ac:dyDescent="0.2"/>
    <row r="75" spans="1:52" ht="15.75" customHeight="1" x14ac:dyDescent="0.2"/>
    <row r="76" spans="1:52" ht="15.75" customHeight="1" x14ac:dyDescent="0.2"/>
    <row r="77" spans="1:52" ht="15.75" customHeight="1" x14ac:dyDescent="0.2"/>
    <row r="78" spans="1:52" ht="15.75" customHeight="1" x14ac:dyDescent="0.2"/>
    <row r="79" spans="1:52" ht="15.75" customHeight="1" x14ac:dyDescent="0.2"/>
    <row r="80" spans="1:5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83">
    <mergeCell ref="A20:C20"/>
    <mergeCell ref="A21:C21"/>
    <mergeCell ref="A22:C22"/>
    <mergeCell ref="A11:B14"/>
    <mergeCell ref="A16:C16"/>
    <mergeCell ref="A17:C17"/>
    <mergeCell ref="A18:C18"/>
    <mergeCell ref="A19:C19"/>
    <mergeCell ref="Q15:X15"/>
    <mergeCell ref="E6:M6"/>
    <mergeCell ref="E7:M7"/>
    <mergeCell ref="N7:T7"/>
    <mergeCell ref="E8:M8"/>
    <mergeCell ref="N8:P8"/>
    <mergeCell ref="Q8:R8"/>
    <mergeCell ref="AR11:AR14"/>
    <mergeCell ref="AS11:AS14"/>
    <mergeCell ref="AT11:AT14"/>
    <mergeCell ref="AU11:AU14"/>
    <mergeCell ref="V5:AC5"/>
    <mergeCell ref="V6:AC6"/>
    <mergeCell ref="V7:AC7"/>
    <mergeCell ref="AD7:AK7"/>
    <mergeCell ref="V8:AC8"/>
    <mergeCell ref="AD8:AK8"/>
    <mergeCell ref="AD10:AK10"/>
    <mergeCell ref="N6:T6"/>
    <mergeCell ref="AD6:AK6"/>
    <mergeCell ref="E9:M9"/>
    <mergeCell ref="N9:T9"/>
    <mergeCell ref="V9:AC9"/>
    <mergeCell ref="AD9:AK9"/>
    <mergeCell ref="S8:T8"/>
    <mergeCell ref="H1:AU4"/>
    <mergeCell ref="E5:M5"/>
    <mergeCell ref="N5:T5"/>
    <mergeCell ref="AD5:AK5"/>
    <mergeCell ref="AM5:AR5"/>
    <mergeCell ref="AM65:AQ65"/>
    <mergeCell ref="AM66:AQ66"/>
    <mergeCell ref="AA69:AI69"/>
    <mergeCell ref="A58:C58"/>
    <mergeCell ref="A59:C59"/>
    <mergeCell ref="A60:C60"/>
    <mergeCell ref="A61:C61"/>
    <mergeCell ref="A62:C62"/>
    <mergeCell ref="A63:C63"/>
    <mergeCell ref="A65:C65"/>
    <mergeCell ref="A53:C53"/>
    <mergeCell ref="A54:C54"/>
    <mergeCell ref="A55:C55"/>
    <mergeCell ref="A56:C56"/>
    <mergeCell ref="A57:C57"/>
    <mergeCell ref="A48:C48"/>
    <mergeCell ref="A49:C49"/>
    <mergeCell ref="Q51:W51"/>
    <mergeCell ref="A50:C50"/>
    <mergeCell ref="A52:C52"/>
    <mergeCell ref="A43:C43"/>
    <mergeCell ref="A44:C44"/>
    <mergeCell ref="A45:C45"/>
    <mergeCell ref="A46:C46"/>
    <mergeCell ref="A47:C47"/>
    <mergeCell ref="A38:C38"/>
    <mergeCell ref="A39:C39"/>
    <mergeCell ref="A40:C40"/>
    <mergeCell ref="A41:C41"/>
    <mergeCell ref="A42:C42"/>
    <mergeCell ref="A33:C33"/>
    <mergeCell ref="A34:C34"/>
    <mergeCell ref="A35:C35"/>
    <mergeCell ref="A36:C36"/>
    <mergeCell ref="A37:C37"/>
    <mergeCell ref="A28:C28"/>
    <mergeCell ref="A29:C29"/>
    <mergeCell ref="A30:C30"/>
    <mergeCell ref="A31:C31"/>
    <mergeCell ref="A32:C32"/>
    <mergeCell ref="A23:C23"/>
    <mergeCell ref="A24:C24"/>
    <mergeCell ref="A25:C25"/>
    <mergeCell ref="A26:C26"/>
    <mergeCell ref="A27:C27"/>
  </mergeCells>
  <dataValidations count="15">
    <dataValidation type="list" allowBlank="1" sqref="N8" xr:uid="{00000000-0002-0000-0100-000000000000}">
      <formula1>"RP,Vac Breaker,Double Check,Anti-Siphon"</formula1>
    </dataValidation>
    <dataValidation type="list" allowBlank="1" sqref="A52" xr:uid="{00000000-0002-0000-0100-000001000000}">
      <formula1>"Quick coupler replacement 3/4"",Quick coupler replacement 1"""</formula1>
    </dataValidation>
    <dataValidation type="list" allowBlank="1" sqref="AD6" xr:uid="{00000000-0002-0000-0100-000002000000}">
      <formula1>"1,2,3,4,5,6,7,8,9,10,A,B,C,D,E,F,G,H,I,J,K,L,M,N,O,P,Q,R,S,T,U,V"</formula1>
    </dataValidation>
    <dataValidation type="custom" allowBlank="1" showDropDown="1" sqref="N9" xr:uid="{00000000-0002-0000-0100-000003000000}">
      <formula1>OR(NOT(ISERROR(DATEVALUE(N9))), AND(ISNUMBER(N9), LEFT(CELL("format", N9))="D"))</formula1>
    </dataValidation>
    <dataValidation type="list" allowBlank="1" sqref="N6" xr:uid="{00000000-0002-0000-0100-000004000000}">
      <formula1>"Yes,No,Partial"</formula1>
    </dataValidation>
    <dataValidation type="list" allowBlank="1" sqref="N7" xr:uid="{00000000-0002-0000-0100-000005000000}">
      <formula1>"Potable,Recycled,Mixed"</formula1>
    </dataValidation>
    <dataValidation type="list" allowBlank="1" sqref="N5" xr:uid="{00000000-0002-0000-0100-000006000000}">
      <formula1>"Yes,No"</formula1>
    </dataValidation>
    <dataValidation type="list" allowBlank="1" sqref="D16:N16 P16:AQ16 D17:AQ50 D52:AQ63" xr:uid="{00000000-0002-0000-0100-000007000000}">
      <formula1>"1,2,3,4,5,6,7,8,9,10"</formula1>
    </dataValidation>
    <dataValidation type="list" allowBlank="1" sqref="S8" xr:uid="{00000000-0002-0000-0100-000008000000}">
      <formula1>"Single POC,Multiple POC"</formula1>
    </dataValidation>
    <dataValidation type="list" allowBlank="1" sqref="D12:AQ12" xr:uid="{00000000-0002-0000-0100-000009000000}">
      <formula1>"Bubbler,Spray Head,Part Circle Rotor,Full Circle Rotor,Mix Rotor,Multi Stream Rotor,MP Rotator,On grade drip,Subsurface Drip,Point Source Drip"</formula1>
    </dataValidation>
    <dataValidation type="list" allowBlank="1" sqref="AD8" xr:uid="{00000000-0002-0000-0100-00000A000000}">
      <formula1>"WeatherTrak ETPRO3,WeatherTrak ET PRO2,WeatherTrak OptiFlow,WEATHERMATIC SMARTLINE,ET WATER,RAINMASTER SENTAR II,IRRITROL MC,RainBird IQ,RainDial,Tucor,Baseline,Hunter 2 wire,Hunter Node"</formula1>
    </dataValidation>
    <dataValidation type="list" allowBlank="1" sqref="O16" xr:uid="{00000000-0002-0000-0100-00000B000000}">
      <formula1>"1,2,3,4,5,6,7,8,9,10,11,12,13,14,15,16,17,18,19,20,21,22,23,24,25,26,27,28,29,30"</formula1>
    </dataValidation>
    <dataValidation type="list" allowBlank="1" sqref="Q8" xr:uid="{00000000-0002-0000-0100-00000C000000}">
      <formula1>"1/2"",3/4"",1"",1.5"",2"",2.5"",3"",4"",6"""</formula1>
    </dataValidation>
    <dataValidation type="list" allowBlank="1" sqref="D11:AQ11" xr:uid="{00000000-0002-0000-0100-00000D000000}">
      <formula1>"Shrubs,Ground Cover,Turf,Grasses,Native Grasses,Tree"</formula1>
    </dataValidation>
    <dataValidation type="list" allowBlank="1" sqref="D13:AQ13" xr:uid="{00000000-0002-0000-0100-00000E000000}">
      <formula1>"0-10,11-20,21-30,31-40,41-50,51-60,61-70,71-80,81-90,91-100,101-110,111-120,121-130,131-140,141-150,151-160,161-170,171-180,181-190,191-200,201-210,211-220,221-230,231-240,241-250,251-260,261-270,271-280,281-290,291-300"</formula1>
    </dataValidation>
  </dataValidations>
  <printOptions horizontalCentered="1" gridLines="1"/>
  <pageMargins left="0.25" right="0.25" top="0.75" bottom="0.75" header="0" footer="0"/>
  <pageSetup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Z1004"/>
  <sheetViews>
    <sheetView showGridLines="0" workbookViewId="0">
      <pane xSplit="3" ySplit="14" topLeftCell="D15" activePane="bottomRight" state="frozen"/>
      <selection pane="topRight" activeCell="D1" sqref="D1"/>
      <selection pane="bottomLeft" activeCell="A15" sqref="A15"/>
      <selection pane="bottomRight" activeCell="D15" sqref="D15"/>
    </sheetView>
  </sheetViews>
  <sheetFormatPr defaultColWidth="12.5703125" defaultRowHeight="15" customHeight="1" x14ac:dyDescent="0.2"/>
  <cols>
    <col min="1" max="1" width="18.28515625" customWidth="1"/>
    <col min="2" max="2" width="7.5703125" customWidth="1"/>
    <col min="3" max="3" width="29.85546875" customWidth="1"/>
    <col min="4" max="43" width="10.85546875" customWidth="1"/>
    <col min="44" max="44" width="13.28515625" customWidth="1"/>
    <col min="45" max="45" width="11.140625" customWidth="1"/>
    <col min="46" max="46" width="18.42578125" customWidth="1"/>
    <col min="47" max="47" width="18.85546875" customWidth="1"/>
    <col min="48" max="52" width="8" customWidth="1"/>
  </cols>
  <sheetData>
    <row r="1" spans="1:52" ht="12.75" customHeight="1" x14ac:dyDescent="0.2">
      <c r="A1" s="10"/>
      <c r="B1" s="10" t="s">
        <v>14</v>
      </c>
      <c r="C1" s="10"/>
      <c r="D1" s="10"/>
      <c r="E1" s="10"/>
      <c r="F1" s="10"/>
      <c r="G1" s="10"/>
      <c r="H1" s="152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"/>
      <c r="AW1" s="10"/>
      <c r="AX1" s="10"/>
      <c r="AY1" s="10"/>
      <c r="AZ1" s="10"/>
    </row>
    <row r="2" spans="1:52" ht="12.75" customHeight="1" x14ac:dyDescent="0.2">
      <c r="A2" s="10"/>
      <c r="B2" s="10"/>
      <c r="C2" s="10"/>
      <c r="D2" s="10"/>
      <c r="E2" s="10"/>
      <c r="F2" s="10"/>
      <c r="G2" s="10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09"/>
      <c r="AV2" s="10"/>
      <c r="AW2" s="10"/>
      <c r="AX2" s="10"/>
      <c r="AY2" s="10"/>
      <c r="AZ2" s="10"/>
    </row>
    <row r="3" spans="1:52" ht="12.75" customHeight="1" x14ac:dyDescent="0.2">
      <c r="A3" s="10"/>
      <c r="B3" s="10"/>
      <c r="C3" s="10"/>
      <c r="D3" s="10"/>
      <c r="E3" s="10"/>
      <c r="F3" s="10"/>
      <c r="G3" s="10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"/>
      <c r="AW3" s="10"/>
      <c r="AX3" s="10"/>
      <c r="AY3" s="10"/>
      <c r="AZ3" s="10"/>
    </row>
    <row r="4" spans="1:52" ht="12.75" customHeight="1" x14ac:dyDescent="0.2">
      <c r="A4" s="10"/>
      <c r="B4" s="10"/>
      <c r="C4" s="10"/>
      <c r="D4" s="10"/>
      <c r="E4" s="10"/>
      <c r="F4" s="10"/>
      <c r="G4" s="10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"/>
      <c r="AW4" s="10"/>
      <c r="AX4" s="10"/>
      <c r="AY4" s="10"/>
      <c r="AZ4" s="10"/>
    </row>
    <row r="5" spans="1:52" ht="28.5" customHeight="1" x14ac:dyDescent="0.2">
      <c r="A5" s="10"/>
      <c r="B5" s="10"/>
      <c r="C5" s="10"/>
      <c r="D5" s="10"/>
      <c r="E5" s="153" t="s">
        <v>15</v>
      </c>
      <c r="F5" s="126"/>
      <c r="G5" s="126"/>
      <c r="H5" s="126"/>
      <c r="I5" s="126"/>
      <c r="J5" s="126"/>
      <c r="K5" s="126"/>
      <c r="L5" s="126"/>
      <c r="M5" s="126"/>
      <c r="N5" s="154"/>
      <c r="O5" s="126"/>
      <c r="P5" s="126"/>
      <c r="Q5" s="126"/>
      <c r="R5" s="126"/>
      <c r="S5" s="126"/>
      <c r="T5" s="106"/>
      <c r="U5" s="10"/>
      <c r="V5" s="155" t="s">
        <v>16</v>
      </c>
      <c r="W5" s="126"/>
      <c r="X5" s="126"/>
      <c r="Y5" s="126"/>
      <c r="Z5" s="126"/>
      <c r="AA5" s="126"/>
      <c r="AB5" s="126"/>
      <c r="AC5" s="126"/>
      <c r="AD5" s="155"/>
      <c r="AE5" s="126"/>
      <c r="AF5" s="126"/>
      <c r="AG5" s="126"/>
      <c r="AH5" s="126"/>
      <c r="AI5" s="126"/>
      <c r="AJ5" s="126"/>
      <c r="AK5" s="106"/>
      <c r="AL5" s="10"/>
      <c r="AM5" s="156"/>
      <c r="AN5" s="109"/>
      <c r="AO5" s="109"/>
      <c r="AP5" s="109"/>
      <c r="AQ5" s="109"/>
      <c r="AR5" s="109"/>
      <c r="AS5" s="10"/>
      <c r="AT5" s="10"/>
      <c r="AU5" s="10"/>
      <c r="AV5" s="10"/>
      <c r="AW5" s="10"/>
      <c r="AX5" s="10"/>
      <c r="AY5" s="10"/>
      <c r="AZ5" s="10"/>
    </row>
    <row r="6" spans="1:52" ht="28.5" customHeight="1" x14ac:dyDescent="0.2">
      <c r="A6" s="10"/>
      <c r="B6" s="10"/>
      <c r="C6" s="10"/>
      <c r="D6" s="10"/>
      <c r="E6" s="153" t="s">
        <v>17</v>
      </c>
      <c r="F6" s="126"/>
      <c r="G6" s="126"/>
      <c r="H6" s="126"/>
      <c r="I6" s="126"/>
      <c r="J6" s="126"/>
      <c r="K6" s="126"/>
      <c r="L6" s="126"/>
      <c r="M6" s="126"/>
      <c r="N6" s="157"/>
      <c r="O6" s="126"/>
      <c r="P6" s="126"/>
      <c r="Q6" s="126"/>
      <c r="R6" s="126"/>
      <c r="S6" s="126"/>
      <c r="T6" s="106"/>
      <c r="U6" s="10"/>
      <c r="V6" s="155" t="s">
        <v>18</v>
      </c>
      <c r="W6" s="126"/>
      <c r="X6" s="126"/>
      <c r="Y6" s="126"/>
      <c r="Z6" s="126"/>
      <c r="AA6" s="126"/>
      <c r="AB6" s="126"/>
      <c r="AC6" s="126"/>
      <c r="AD6" s="155"/>
      <c r="AE6" s="126"/>
      <c r="AF6" s="126"/>
      <c r="AG6" s="126"/>
      <c r="AH6" s="126"/>
      <c r="AI6" s="126"/>
      <c r="AJ6" s="126"/>
      <c r="AK6" s="106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</row>
    <row r="7" spans="1:52" ht="28.5" customHeight="1" x14ac:dyDescent="0.5">
      <c r="A7" s="10"/>
      <c r="B7" s="10"/>
      <c r="C7" s="10"/>
      <c r="D7" s="10"/>
      <c r="E7" s="153" t="s">
        <v>20</v>
      </c>
      <c r="F7" s="126"/>
      <c r="G7" s="126"/>
      <c r="H7" s="126"/>
      <c r="I7" s="126"/>
      <c r="J7" s="126"/>
      <c r="K7" s="126"/>
      <c r="L7" s="126"/>
      <c r="M7" s="106"/>
      <c r="N7" s="157"/>
      <c r="O7" s="126"/>
      <c r="P7" s="126"/>
      <c r="Q7" s="126"/>
      <c r="R7" s="126"/>
      <c r="S7" s="126"/>
      <c r="T7" s="106"/>
      <c r="U7" s="11"/>
      <c r="V7" s="155" t="s">
        <v>21</v>
      </c>
      <c r="W7" s="126"/>
      <c r="X7" s="126"/>
      <c r="Y7" s="126"/>
      <c r="Z7" s="126"/>
      <c r="AA7" s="126"/>
      <c r="AB7" s="126"/>
      <c r="AC7" s="126"/>
      <c r="AD7" s="166"/>
      <c r="AE7" s="126"/>
      <c r="AF7" s="126"/>
      <c r="AG7" s="126"/>
      <c r="AH7" s="126"/>
      <c r="AI7" s="126"/>
      <c r="AJ7" s="126"/>
      <c r="AK7" s="106"/>
      <c r="AL7" s="12"/>
      <c r="AM7" s="12"/>
      <c r="AN7" s="12"/>
      <c r="AO7" s="12"/>
      <c r="AP7" s="12"/>
      <c r="AQ7" s="12"/>
      <c r="AR7" s="12"/>
      <c r="AS7" s="12"/>
      <c r="AT7" s="10"/>
      <c r="AU7" s="10"/>
      <c r="AV7" s="10"/>
      <c r="AW7" s="10"/>
      <c r="AX7" s="10"/>
      <c r="AY7" s="10"/>
      <c r="AZ7" s="10"/>
    </row>
    <row r="8" spans="1:52" ht="30.75" customHeight="1" x14ac:dyDescent="0.45">
      <c r="A8" s="10"/>
      <c r="B8" s="10"/>
      <c r="C8" s="10"/>
      <c r="D8" s="10"/>
      <c r="E8" s="153" t="s">
        <v>22</v>
      </c>
      <c r="F8" s="126"/>
      <c r="G8" s="126"/>
      <c r="H8" s="126"/>
      <c r="I8" s="126"/>
      <c r="J8" s="126"/>
      <c r="K8" s="126"/>
      <c r="L8" s="126"/>
      <c r="M8" s="106"/>
      <c r="N8" s="169"/>
      <c r="O8" s="126"/>
      <c r="P8" s="106"/>
      <c r="Q8" s="167"/>
      <c r="R8" s="106"/>
      <c r="S8" s="167"/>
      <c r="T8" s="106"/>
      <c r="U8" s="11"/>
      <c r="V8" s="155" t="s">
        <v>23</v>
      </c>
      <c r="W8" s="126"/>
      <c r="X8" s="126"/>
      <c r="Y8" s="126"/>
      <c r="Z8" s="126"/>
      <c r="AA8" s="126"/>
      <c r="AB8" s="126"/>
      <c r="AC8" s="126"/>
      <c r="AD8" s="155"/>
      <c r="AE8" s="126"/>
      <c r="AF8" s="126"/>
      <c r="AG8" s="126"/>
      <c r="AH8" s="126"/>
      <c r="AI8" s="126"/>
      <c r="AJ8" s="126"/>
      <c r="AK8" s="106"/>
      <c r="AL8" s="13"/>
      <c r="AM8" s="13"/>
      <c r="AN8" s="13"/>
      <c r="AO8" s="13"/>
      <c r="AP8" s="13"/>
      <c r="AQ8" s="13"/>
      <c r="AR8" s="13"/>
      <c r="AS8" s="13"/>
      <c r="AT8" s="10"/>
      <c r="AU8" s="10"/>
      <c r="AV8" s="10"/>
      <c r="AW8" s="10"/>
      <c r="AX8" s="10"/>
      <c r="AY8" s="10"/>
      <c r="AZ8" s="10"/>
    </row>
    <row r="9" spans="1:52" ht="28.5" customHeight="1" x14ac:dyDescent="0.45">
      <c r="A9" s="10"/>
      <c r="B9" s="10"/>
      <c r="C9" s="10"/>
      <c r="D9" s="10"/>
      <c r="E9" s="153" t="s">
        <v>24</v>
      </c>
      <c r="F9" s="126"/>
      <c r="G9" s="126"/>
      <c r="H9" s="126"/>
      <c r="I9" s="126"/>
      <c r="J9" s="126"/>
      <c r="K9" s="126"/>
      <c r="L9" s="126"/>
      <c r="M9" s="106"/>
      <c r="N9" s="158"/>
      <c r="O9" s="126"/>
      <c r="P9" s="126"/>
      <c r="Q9" s="126"/>
      <c r="R9" s="126"/>
      <c r="S9" s="126"/>
      <c r="T9" s="106"/>
      <c r="U9" s="14" t="s">
        <v>25</v>
      </c>
      <c r="V9" s="155" t="s">
        <v>26</v>
      </c>
      <c r="W9" s="126"/>
      <c r="X9" s="126"/>
      <c r="Y9" s="126"/>
      <c r="Z9" s="126"/>
      <c r="AA9" s="126"/>
      <c r="AB9" s="126"/>
      <c r="AC9" s="106"/>
      <c r="AD9" s="159"/>
      <c r="AE9" s="160"/>
      <c r="AF9" s="160"/>
      <c r="AG9" s="160"/>
      <c r="AH9" s="160"/>
      <c r="AI9" s="160"/>
      <c r="AJ9" s="160"/>
      <c r="AK9" s="118"/>
      <c r="AL9" s="13"/>
      <c r="AM9" s="13"/>
      <c r="AN9" s="13"/>
      <c r="AO9" s="13"/>
      <c r="AP9" s="13"/>
      <c r="AQ9" s="13"/>
      <c r="AR9" s="13"/>
      <c r="AS9" s="13"/>
      <c r="AT9" s="10"/>
      <c r="AU9" s="10"/>
      <c r="AV9" s="10"/>
      <c r="AW9" s="10"/>
      <c r="AX9" s="10"/>
      <c r="AY9" s="10"/>
      <c r="AZ9" s="10"/>
    </row>
    <row r="10" spans="1:52" ht="32.25" customHeight="1" x14ac:dyDescent="0.5">
      <c r="A10" s="10"/>
      <c r="B10" s="10"/>
      <c r="C10" s="10"/>
      <c r="D10" s="10"/>
      <c r="U10" s="11"/>
      <c r="AD10" s="155"/>
      <c r="AE10" s="126"/>
      <c r="AF10" s="126"/>
      <c r="AG10" s="126"/>
      <c r="AH10" s="126"/>
      <c r="AI10" s="126"/>
      <c r="AJ10" s="126"/>
      <c r="AK10" s="106"/>
      <c r="AL10" s="12"/>
      <c r="AM10" s="12"/>
      <c r="AN10" s="12"/>
      <c r="AO10" s="12"/>
      <c r="AP10" s="12"/>
      <c r="AQ10" s="12"/>
      <c r="AR10" s="12"/>
      <c r="AS10" s="12"/>
      <c r="AT10" s="10"/>
      <c r="AU10" s="10"/>
      <c r="AV10" s="10"/>
      <c r="AW10" s="10"/>
      <c r="AX10" s="10"/>
      <c r="AY10" s="10"/>
      <c r="AZ10" s="10"/>
    </row>
    <row r="11" spans="1:52" ht="34.5" customHeight="1" x14ac:dyDescent="0.2">
      <c r="A11" s="170" t="s">
        <v>27</v>
      </c>
      <c r="B11" s="116"/>
      <c r="C11" s="15" t="s">
        <v>28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61" t="s">
        <v>31</v>
      </c>
      <c r="AS11" s="161" t="s">
        <v>32</v>
      </c>
      <c r="AT11" s="164" t="s">
        <v>33</v>
      </c>
      <c r="AU11" s="165" t="s">
        <v>34</v>
      </c>
      <c r="AV11" s="10"/>
      <c r="AW11" s="10"/>
      <c r="AX11" s="10"/>
      <c r="AY11" s="10"/>
      <c r="AZ11" s="10"/>
    </row>
    <row r="12" spans="1:52" ht="34.5" customHeight="1" x14ac:dyDescent="0.2">
      <c r="A12" s="114"/>
      <c r="B12" s="171"/>
      <c r="C12" s="18" t="s">
        <v>35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162"/>
      <c r="AS12" s="162"/>
      <c r="AT12" s="162"/>
      <c r="AU12" s="162"/>
      <c r="AV12" s="10"/>
      <c r="AW12" s="10"/>
      <c r="AX12" s="10"/>
      <c r="AY12" s="10"/>
      <c r="AZ12" s="10"/>
    </row>
    <row r="13" spans="1:52" ht="34.5" customHeight="1" x14ac:dyDescent="0.2">
      <c r="A13" s="114"/>
      <c r="B13" s="171"/>
      <c r="C13" s="21" t="s">
        <v>38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162"/>
      <c r="AS13" s="162"/>
      <c r="AT13" s="162"/>
      <c r="AU13" s="162"/>
      <c r="AV13" s="10"/>
      <c r="AW13" s="10"/>
      <c r="AX13" s="10"/>
      <c r="AY13" s="10"/>
      <c r="AZ13" s="10"/>
    </row>
    <row r="14" spans="1:52" ht="34.5" customHeight="1" x14ac:dyDescent="0.35">
      <c r="A14" s="117"/>
      <c r="B14" s="118"/>
      <c r="C14" s="18" t="s">
        <v>39</v>
      </c>
      <c r="D14" s="23">
        <v>1</v>
      </c>
      <c r="E14" s="23">
        <v>2</v>
      </c>
      <c r="F14" s="23">
        <v>3</v>
      </c>
      <c r="G14" s="23">
        <v>4</v>
      </c>
      <c r="H14" s="23">
        <v>5</v>
      </c>
      <c r="I14" s="23">
        <v>6</v>
      </c>
      <c r="J14" s="23">
        <v>7</v>
      </c>
      <c r="K14" s="23">
        <v>8</v>
      </c>
      <c r="L14" s="23">
        <v>9</v>
      </c>
      <c r="M14" s="23">
        <v>10</v>
      </c>
      <c r="N14" s="23">
        <v>11</v>
      </c>
      <c r="O14" s="23">
        <v>12</v>
      </c>
      <c r="P14" s="23">
        <v>13</v>
      </c>
      <c r="Q14" s="23">
        <v>14</v>
      </c>
      <c r="R14" s="23">
        <v>15</v>
      </c>
      <c r="S14" s="23">
        <v>16</v>
      </c>
      <c r="T14" s="23">
        <v>17</v>
      </c>
      <c r="U14" s="23">
        <v>18</v>
      </c>
      <c r="V14" s="23">
        <v>19</v>
      </c>
      <c r="W14" s="23">
        <v>20</v>
      </c>
      <c r="X14" s="23">
        <v>21</v>
      </c>
      <c r="Y14" s="23">
        <v>22</v>
      </c>
      <c r="Z14" s="23">
        <v>23</v>
      </c>
      <c r="AA14" s="23">
        <v>24</v>
      </c>
      <c r="AB14" s="23">
        <v>25</v>
      </c>
      <c r="AC14" s="23">
        <v>26</v>
      </c>
      <c r="AD14" s="23">
        <v>27</v>
      </c>
      <c r="AE14" s="23">
        <v>28</v>
      </c>
      <c r="AF14" s="23">
        <v>29</v>
      </c>
      <c r="AG14" s="23">
        <v>30</v>
      </c>
      <c r="AH14" s="23">
        <v>31</v>
      </c>
      <c r="AI14" s="23">
        <v>32</v>
      </c>
      <c r="AJ14" s="23">
        <v>33</v>
      </c>
      <c r="AK14" s="23">
        <v>34</v>
      </c>
      <c r="AL14" s="23">
        <v>35</v>
      </c>
      <c r="AM14" s="23">
        <v>36</v>
      </c>
      <c r="AN14" s="23">
        <v>37</v>
      </c>
      <c r="AO14" s="23">
        <v>38</v>
      </c>
      <c r="AP14" s="23">
        <v>39</v>
      </c>
      <c r="AQ14" s="23">
        <v>40</v>
      </c>
      <c r="AR14" s="163"/>
      <c r="AS14" s="163"/>
      <c r="AT14" s="163"/>
      <c r="AU14" s="163"/>
      <c r="AV14" s="10"/>
      <c r="AW14" s="10"/>
      <c r="AX14" s="10"/>
      <c r="AY14" s="10"/>
      <c r="AZ14" s="10"/>
    </row>
    <row r="15" spans="1:52" ht="30" customHeight="1" x14ac:dyDescent="0.2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168" t="s">
        <v>40</v>
      </c>
      <c r="R15" s="126"/>
      <c r="S15" s="126"/>
      <c r="T15" s="126"/>
      <c r="U15" s="126"/>
      <c r="V15" s="126"/>
      <c r="W15" s="126"/>
      <c r="X15" s="126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6"/>
      <c r="AR15" s="27"/>
      <c r="AS15" s="27"/>
      <c r="AT15" s="28"/>
      <c r="AU15" s="29"/>
      <c r="AV15" s="10"/>
      <c r="AW15" s="10"/>
      <c r="AX15" s="10"/>
      <c r="AY15" s="10"/>
      <c r="AZ15" s="10"/>
    </row>
    <row r="16" spans="1:52" ht="33.75" customHeight="1" x14ac:dyDescent="0.2">
      <c r="A16" s="128" t="s">
        <v>41</v>
      </c>
      <c r="B16" s="126"/>
      <c r="C16" s="127"/>
      <c r="D16" s="31"/>
      <c r="E16" s="30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2">
        <f t="shared" ref="AR16:AR50" si="0">SUM(D16:AQ16)</f>
        <v>0</v>
      </c>
      <c r="AS16" s="33">
        <v>25</v>
      </c>
      <c r="AT16" s="34">
        <f t="shared" ref="AT16:AT50" si="1">AR16*AS16</f>
        <v>0</v>
      </c>
      <c r="AU16" s="35" t="s">
        <v>42</v>
      </c>
      <c r="AV16" s="36"/>
      <c r="AW16" s="36"/>
      <c r="AX16" s="36"/>
      <c r="AY16" s="36"/>
      <c r="AZ16" s="36"/>
    </row>
    <row r="17" spans="1:52" ht="33.75" customHeight="1" x14ac:dyDescent="0.2">
      <c r="A17" s="125" t="s">
        <v>43</v>
      </c>
      <c r="B17" s="126"/>
      <c r="C17" s="127"/>
      <c r="D17" s="38"/>
      <c r="E17" s="37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2">
        <f t="shared" si="0"/>
        <v>0</v>
      </c>
      <c r="AS17" s="33">
        <v>25</v>
      </c>
      <c r="AT17" s="34">
        <f t="shared" si="1"/>
        <v>0</v>
      </c>
      <c r="AU17" s="35" t="s">
        <v>42</v>
      </c>
      <c r="AV17" s="36"/>
      <c r="AW17" s="36"/>
      <c r="AX17" s="36"/>
      <c r="AY17" s="36"/>
      <c r="AZ17" s="36"/>
    </row>
    <row r="18" spans="1:52" ht="33.75" customHeight="1" x14ac:dyDescent="0.2">
      <c r="A18" s="172" t="s">
        <v>44</v>
      </c>
      <c r="B18" s="126"/>
      <c r="C18" s="126"/>
      <c r="D18" s="66"/>
      <c r="E18" s="39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2">
        <f t="shared" si="0"/>
        <v>0</v>
      </c>
      <c r="AS18" s="33">
        <v>20</v>
      </c>
      <c r="AT18" s="34">
        <f t="shared" si="1"/>
        <v>0</v>
      </c>
      <c r="AU18" s="35" t="s">
        <v>42</v>
      </c>
      <c r="AV18" s="36"/>
      <c r="AW18" s="36"/>
      <c r="AX18" s="36"/>
      <c r="AY18" s="36"/>
      <c r="AZ18" s="36"/>
    </row>
    <row r="19" spans="1:52" ht="33.75" customHeight="1" x14ac:dyDescent="0.2">
      <c r="A19" s="125" t="s">
        <v>45</v>
      </c>
      <c r="B19" s="126"/>
      <c r="C19" s="127"/>
      <c r="D19" s="62"/>
      <c r="E19" s="40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2">
        <f t="shared" si="0"/>
        <v>0</v>
      </c>
      <c r="AS19" s="33">
        <v>60</v>
      </c>
      <c r="AT19" s="34">
        <f t="shared" si="1"/>
        <v>0</v>
      </c>
      <c r="AU19" s="35" t="s">
        <v>42</v>
      </c>
      <c r="AV19" s="36"/>
      <c r="AW19" s="36"/>
      <c r="AX19" s="36"/>
      <c r="AY19" s="36"/>
      <c r="AZ19" s="36"/>
    </row>
    <row r="20" spans="1:52" ht="33.75" customHeight="1" x14ac:dyDescent="0.2">
      <c r="A20" s="128" t="s">
        <v>46</v>
      </c>
      <c r="B20" s="126"/>
      <c r="C20" s="127"/>
      <c r="D20" s="66"/>
      <c r="E20" s="39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2">
        <f t="shared" si="0"/>
        <v>0</v>
      </c>
      <c r="AS20" s="33">
        <v>31</v>
      </c>
      <c r="AT20" s="34">
        <f t="shared" si="1"/>
        <v>0</v>
      </c>
      <c r="AU20" s="35" t="s">
        <v>42</v>
      </c>
      <c r="AV20" s="36"/>
      <c r="AW20" s="36"/>
      <c r="AX20" s="36"/>
      <c r="AY20" s="36"/>
      <c r="AZ20" s="36"/>
    </row>
    <row r="21" spans="1:52" ht="33.75" customHeight="1" x14ac:dyDescent="0.2">
      <c r="A21" s="125" t="s">
        <v>47</v>
      </c>
      <c r="B21" s="126"/>
      <c r="C21" s="127"/>
      <c r="D21" s="62"/>
      <c r="E21" s="40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2">
        <f t="shared" si="0"/>
        <v>0</v>
      </c>
      <c r="AS21" s="33">
        <v>330</v>
      </c>
      <c r="AT21" s="34">
        <f t="shared" si="1"/>
        <v>0</v>
      </c>
      <c r="AU21" s="35" t="s">
        <v>42</v>
      </c>
      <c r="AV21" s="36"/>
      <c r="AW21" s="36"/>
      <c r="AX21" s="36"/>
      <c r="AY21" s="36"/>
      <c r="AZ21" s="36"/>
    </row>
    <row r="22" spans="1:52" ht="33.75" customHeight="1" x14ac:dyDescent="0.2">
      <c r="A22" s="128" t="s">
        <v>48</v>
      </c>
      <c r="B22" s="126"/>
      <c r="C22" s="127"/>
      <c r="D22" s="66"/>
      <c r="E22" s="39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2">
        <f t="shared" si="0"/>
        <v>0</v>
      </c>
      <c r="AS22" s="33">
        <v>250</v>
      </c>
      <c r="AT22" s="34">
        <f t="shared" si="1"/>
        <v>0</v>
      </c>
      <c r="AU22" s="35" t="s">
        <v>42</v>
      </c>
      <c r="AV22" s="36"/>
      <c r="AW22" s="36"/>
      <c r="AX22" s="36"/>
      <c r="AY22" s="36"/>
      <c r="AZ22" s="36"/>
    </row>
    <row r="23" spans="1:52" ht="33.75" customHeight="1" x14ac:dyDescent="0.2">
      <c r="A23" s="125" t="s">
        <v>49</v>
      </c>
      <c r="B23" s="126"/>
      <c r="C23" s="127"/>
      <c r="D23" s="62"/>
      <c r="E23" s="40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2">
        <f t="shared" si="0"/>
        <v>0</v>
      </c>
      <c r="AS23" s="33">
        <v>50</v>
      </c>
      <c r="AT23" s="34">
        <f t="shared" si="1"/>
        <v>0</v>
      </c>
      <c r="AU23" s="35" t="s">
        <v>42</v>
      </c>
      <c r="AV23" s="36"/>
      <c r="AW23" s="36"/>
      <c r="AX23" s="36"/>
      <c r="AY23" s="36"/>
      <c r="AZ23" s="36"/>
    </row>
    <row r="24" spans="1:52" ht="33.75" customHeight="1" x14ac:dyDescent="0.2">
      <c r="A24" s="128" t="s">
        <v>50</v>
      </c>
      <c r="B24" s="126"/>
      <c r="C24" s="127"/>
      <c r="D24" s="66"/>
      <c r="E24" s="39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2">
        <f t="shared" si="0"/>
        <v>0</v>
      </c>
      <c r="AS24" s="33">
        <v>68</v>
      </c>
      <c r="AT24" s="34">
        <f t="shared" si="1"/>
        <v>0</v>
      </c>
      <c r="AU24" s="35" t="s">
        <v>42</v>
      </c>
      <c r="AV24" s="36"/>
      <c r="AW24" s="36"/>
      <c r="AX24" s="36"/>
      <c r="AY24" s="36"/>
      <c r="AZ24" s="36"/>
    </row>
    <row r="25" spans="1:52" ht="33.75" customHeight="1" x14ac:dyDescent="0.2">
      <c r="A25" s="125" t="s">
        <v>51</v>
      </c>
      <c r="B25" s="126"/>
      <c r="C25" s="127"/>
      <c r="D25" s="62"/>
      <c r="E25" s="40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2">
        <f t="shared" si="0"/>
        <v>0</v>
      </c>
      <c r="AS25" s="33">
        <v>90</v>
      </c>
      <c r="AT25" s="34">
        <f t="shared" si="1"/>
        <v>0</v>
      </c>
      <c r="AU25" s="35" t="s">
        <v>42</v>
      </c>
      <c r="AV25" s="36"/>
      <c r="AW25" s="36"/>
      <c r="AX25" s="36"/>
      <c r="AY25" s="36"/>
      <c r="AZ25" s="36"/>
    </row>
    <row r="26" spans="1:52" ht="33.75" customHeight="1" x14ac:dyDescent="0.2">
      <c r="A26" s="128" t="s">
        <v>52</v>
      </c>
      <c r="B26" s="126"/>
      <c r="C26" s="127"/>
      <c r="D26" s="66"/>
      <c r="E26" s="39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2">
        <f t="shared" si="0"/>
        <v>0</v>
      </c>
      <c r="AS26" s="33">
        <v>82</v>
      </c>
      <c r="AT26" s="34">
        <f t="shared" si="1"/>
        <v>0</v>
      </c>
      <c r="AU26" s="35" t="s">
        <v>42</v>
      </c>
      <c r="AV26" s="36"/>
      <c r="AW26" s="36"/>
      <c r="AX26" s="36"/>
      <c r="AY26" s="36"/>
      <c r="AZ26" s="36"/>
    </row>
    <row r="27" spans="1:52" ht="33.75" customHeight="1" x14ac:dyDescent="0.2">
      <c r="A27" s="125" t="s">
        <v>53</v>
      </c>
      <c r="B27" s="126"/>
      <c r="C27" s="127"/>
      <c r="D27" s="62"/>
      <c r="E27" s="40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2">
        <f t="shared" si="0"/>
        <v>0</v>
      </c>
      <c r="AS27" s="33">
        <v>95</v>
      </c>
      <c r="AT27" s="34">
        <f t="shared" si="1"/>
        <v>0</v>
      </c>
      <c r="AU27" s="35" t="s">
        <v>42</v>
      </c>
      <c r="AV27" s="36"/>
      <c r="AW27" s="36"/>
      <c r="AX27" s="36"/>
      <c r="AY27" s="36"/>
      <c r="AZ27" s="36"/>
    </row>
    <row r="28" spans="1:52" ht="33.75" customHeight="1" x14ac:dyDescent="0.2">
      <c r="A28" s="128" t="s">
        <v>54</v>
      </c>
      <c r="B28" s="126"/>
      <c r="C28" s="127"/>
      <c r="D28" s="66"/>
      <c r="E28" s="39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2">
        <f t="shared" si="0"/>
        <v>0</v>
      </c>
      <c r="AS28" s="33">
        <v>10</v>
      </c>
      <c r="AT28" s="34">
        <f t="shared" si="1"/>
        <v>0</v>
      </c>
      <c r="AU28" s="35" t="s">
        <v>42</v>
      </c>
      <c r="AV28" s="36"/>
      <c r="AW28" s="36"/>
      <c r="AX28" s="36"/>
      <c r="AY28" s="36"/>
      <c r="AZ28" s="36"/>
    </row>
    <row r="29" spans="1:52" ht="33.75" customHeight="1" x14ac:dyDescent="0.2">
      <c r="A29" s="125" t="s">
        <v>55</v>
      </c>
      <c r="B29" s="126"/>
      <c r="C29" s="127"/>
      <c r="D29" s="62"/>
      <c r="E29" s="40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2">
        <f t="shared" si="0"/>
        <v>0</v>
      </c>
      <c r="AS29" s="33">
        <v>25</v>
      </c>
      <c r="AT29" s="34">
        <f t="shared" si="1"/>
        <v>0</v>
      </c>
      <c r="AU29" s="35" t="s">
        <v>42</v>
      </c>
      <c r="AV29" s="36"/>
      <c r="AW29" s="36"/>
      <c r="AX29" s="36"/>
      <c r="AY29" s="36"/>
      <c r="AZ29" s="36"/>
    </row>
    <row r="30" spans="1:52" ht="33.75" customHeight="1" x14ac:dyDescent="0.2">
      <c r="A30" s="128" t="s">
        <v>56</v>
      </c>
      <c r="B30" s="126"/>
      <c r="C30" s="127"/>
      <c r="D30" s="66"/>
      <c r="E30" s="39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2">
        <f t="shared" si="0"/>
        <v>0</v>
      </c>
      <c r="AS30" s="33">
        <v>1481</v>
      </c>
      <c r="AT30" s="34">
        <f t="shared" si="1"/>
        <v>0</v>
      </c>
      <c r="AU30" s="35" t="s">
        <v>42</v>
      </c>
      <c r="AV30" s="36"/>
      <c r="AW30" s="36"/>
      <c r="AX30" s="36"/>
      <c r="AY30" s="36"/>
      <c r="AZ30" s="36"/>
    </row>
    <row r="31" spans="1:52" ht="33.75" customHeight="1" x14ac:dyDescent="0.2">
      <c r="A31" s="125" t="s">
        <v>57</v>
      </c>
      <c r="B31" s="126"/>
      <c r="C31" s="127"/>
      <c r="D31" s="62"/>
      <c r="E31" s="40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2">
        <f t="shared" si="0"/>
        <v>0</v>
      </c>
      <c r="AS31" s="33">
        <v>2180</v>
      </c>
      <c r="AT31" s="34">
        <f t="shared" si="1"/>
        <v>0</v>
      </c>
      <c r="AU31" s="35" t="s">
        <v>42</v>
      </c>
      <c r="AV31" s="36"/>
      <c r="AW31" s="36"/>
      <c r="AX31" s="36"/>
      <c r="AY31" s="36"/>
      <c r="AZ31" s="36"/>
    </row>
    <row r="32" spans="1:52" ht="33.75" customHeight="1" x14ac:dyDescent="0.2">
      <c r="A32" s="128" t="s">
        <v>58</v>
      </c>
      <c r="B32" s="126"/>
      <c r="C32" s="127"/>
      <c r="D32" s="66"/>
      <c r="E32" s="39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41">
        <f t="shared" si="0"/>
        <v>0</v>
      </c>
      <c r="AS32" s="42">
        <v>250</v>
      </c>
      <c r="AT32" s="34">
        <f t="shared" si="1"/>
        <v>0</v>
      </c>
      <c r="AU32" s="35" t="s">
        <v>42</v>
      </c>
      <c r="AV32" s="43"/>
      <c r="AW32" s="43"/>
      <c r="AX32" s="43"/>
      <c r="AY32" s="43"/>
      <c r="AZ32" s="43"/>
    </row>
    <row r="33" spans="1:52" ht="33.75" customHeight="1" x14ac:dyDescent="0.2">
      <c r="A33" s="125" t="s">
        <v>59</v>
      </c>
      <c r="B33" s="126"/>
      <c r="C33" s="127"/>
      <c r="D33" s="62"/>
      <c r="E33" s="40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2">
        <f t="shared" si="0"/>
        <v>0</v>
      </c>
      <c r="AS33" s="33">
        <v>355</v>
      </c>
      <c r="AT33" s="34">
        <f t="shared" si="1"/>
        <v>0</v>
      </c>
      <c r="AU33" s="35" t="s">
        <v>42</v>
      </c>
      <c r="AV33" s="36"/>
      <c r="AW33" s="36"/>
      <c r="AX33" s="36"/>
      <c r="AY33" s="36"/>
      <c r="AZ33" s="36"/>
    </row>
    <row r="34" spans="1:52" ht="33.75" customHeight="1" x14ac:dyDescent="0.2">
      <c r="A34" s="128" t="s">
        <v>60</v>
      </c>
      <c r="B34" s="126"/>
      <c r="C34" s="127"/>
      <c r="D34" s="66"/>
      <c r="E34" s="39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2">
        <f t="shared" si="0"/>
        <v>0</v>
      </c>
      <c r="AS34" s="33">
        <v>150</v>
      </c>
      <c r="AT34" s="34">
        <f t="shared" si="1"/>
        <v>0</v>
      </c>
      <c r="AU34" s="35" t="s">
        <v>42</v>
      </c>
      <c r="AV34" s="36"/>
      <c r="AW34" s="36"/>
      <c r="AX34" s="36"/>
      <c r="AY34" s="36"/>
      <c r="AZ34" s="36"/>
    </row>
    <row r="35" spans="1:52" ht="33.75" customHeight="1" x14ac:dyDescent="0.2">
      <c r="A35" s="125" t="s">
        <v>61</v>
      </c>
      <c r="B35" s="126"/>
      <c r="C35" s="127"/>
      <c r="D35" s="62"/>
      <c r="E35" s="40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2">
        <f t="shared" si="0"/>
        <v>0</v>
      </c>
      <c r="AS35" s="33">
        <v>350</v>
      </c>
      <c r="AT35" s="34">
        <f t="shared" si="1"/>
        <v>0</v>
      </c>
      <c r="AU35" s="35" t="s">
        <v>42</v>
      </c>
      <c r="AV35" s="36"/>
      <c r="AW35" s="36"/>
      <c r="AX35" s="36"/>
      <c r="AY35" s="36"/>
      <c r="AZ35" s="36"/>
    </row>
    <row r="36" spans="1:52" ht="33.75" customHeight="1" x14ac:dyDescent="0.2">
      <c r="A36" s="129" t="s">
        <v>62</v>
      </c>
      <c r="B36" s="126"/>
      <c r="C36" s="127"/>
      <c r="D36" s="99"/>
      <c r="E36" s="44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32">
        <f t="shared" si="0"/>
        <v>0</v>
      </c>
      <c r="AS36" s="33">
        <v>395</v>
      </c>
      <c r="AT36" s="34">
        <f t="shared" si="1"/>
        <v>0</v>
      </c>
      <c r="AU36" s="35" t="s">
        <v>42</v>
      </c>
      <c r="AV36" s="36"/>
      <c r="AW36" s="36"/>
      <c r="AX36" s="36"/>
      <c r="AY36" s="36"/>
      <c r="AZ36" s="36"/>
    </row>
    <row r="37" spans="1:52" ht="33.75" customHeight="1" x14ac:dyDescent="0.2">
      <c r="A37" s="130" t="s">
        <v>63</v>
      </c>
      <c r="B37" s="126"/>
      <c r="C37" s="127"/>
      <c r="D37" s="100"/>
      <c r="E37" s="46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32">
        <f t="shared" si="0"/>
        <v>0</v>
      </c>
      <c r="AS37" s="33">
        <v>440</v>
      </c>
      <c r="AT37" s="34">
        <f t="shared" si="1"/>
        <v>0</v>
      </c>
      <c r="AU37" s="35" t="s">
        <v>42</v>
      </c>
      <c r="AV37" s="36"/>
      <c r="AW37" s="36"/>
      <c r="AX37" s="36"/>
      <c r="AY37" s="36"/>
      <c r="AZ37" s="36"/>
    </row>
    <row r="38" spans="1:52" ht="33.75" customHeight="1" x14ac:dyDescent="0.2">
      <c r="A38" s="131" t="s">
        <v>64</v>
      </c>
      <c r="B38" s="126"/>
      <c r="C38" s="127"/>
      <c r="D38" s="51"/>
      <c r="E38" s="48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51"/>
      <c r="AR38" s="32">
        <f t="shared" si="0"/>
        <v>0</v>
      </c>
      <c r="AS38" s="33">
        <v>550</v>
      </c>
      <c r="AT38" s="34">
        <f t="shared" si="1"/>
        <v>0</v>
      </c>
      <c r="AU38" s="35" t="s">
        <v>42</v>
      </c>
      <c r="AV38" s="36"/>
      <c r="AW38" s="36"/>
      <c r="AX38" s="36"/>
      <c r="AY38" s="36"/>
      <c r="AZ38" s="36"/>
    </row>
    <row r="39" spans="1:52" ht="33.75" customHeight="1" x14ac:dyDescent="0.2">
      <c r="A39" s="132" t="s">
        <v>65</v>
      </c>
      <c r="B39" s="126"/>
      <c r="C39" s="106"/>
      <c r="D39" s="54"/>
      <c r="E39" s="52"/>
      <c r="F39" s="53"/>
      <c r="G39" s="53"/>
      <c r="H39" s="53"/>
      <c r="I39" s="54"/>
      <c r="J39" s="54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5">
        <f t="shared" si="0"/>
        <v>0</v>
      </c>
      <c r="AS39" s="33">
        <v>600</v>
      </c>
      <c r="AT39" s="34">
        <f t="shared" si="1"/>
        <v>0</v>
      </c>
      <c r="AU39" s="35" t="s">
        <v>42</v>
      </c>
      <c r="AV39" s="36"/>
      <c r="AW39" s="36"/>
      <c r="AX39" s="36"/>
      <c r="AY39" s="36"/>
      <c r="AZ39" s="36"/>
    </row>
    <row r="40" spans="1:52" ht="33.75" customHeight="1" x14ac:dyDescent="0.2">
      <c r="A40" s="133" t="s">
        <v>66</v>
      </c>
      <c r="B40" s="126"/>
      <c r="C40" s="127"/>
      <c r="D40" s="101"/>
      <c r="E40" s="56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32">
        <f t="shared" si="0"/>
        <v>0</v>
      </c>
      <c r="AS40" s="33">
        <v>650</v>
      </c>
      <c r="AT40" s="34">
        <f t="shared" si="1"/>
        <v>0</v>
      </c>
      <c r="AU40" s="35" t="s">
        <v>42</v>
      </c>
      <c r="AV40" s="36"/>
      <c r="AW40" s="36"/>
      <c r="AX40" s="36"/>
      <c r="AY40" s="36"/>
      <c r="AZ40" s="36"/>
    </row>
    <row r="41" spans="1:52" ht="33.75" customHeight="1" x14ac:dyDescent="0.2">
      <c r="A41" s="134" t="s">
        <v>67</v>
      </c>
      <c r="B41" s="126"/>
      <c r="C41" s="106"/>
      <c r="D41" s="102"/>
      <c r="E41" s="58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5">
        <f t="shared" si="0"/>
        <v>0</v>
      </c>
      <c r="AS41" s="33">
        <v>700</v>
      </c>
      <c r="AT41" s="34">
        <f t="shared" si="1"/>
        <v>0</v>
      </c>
      <c r="AU41" s="35" t="s">
        <v>42</v>
      </c>
      <c r="AV41" s="36"/>
      <c r="AW41" s="36"/>
      <c r="AX41" s="36"/>
      <c r="AY41" s="36"/>
      <c r="AZ41" s="36"/>
    </row>
    <row r="42" spans="1:52" ht="33.75" customHeight="1" x14ac:dyDescent="0.2">
      <c r="A42" s="135" t="s">
        <v>68</v>
      </c>
      <c r="B42" s="126"/>
      <c r="C42" s="106"/>
      <c r="D42" s="103"/>
      <c r="E42" s="60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55">
        <f t="shared" si="0"/>
        <v>0</v>
      </c>
      <c r="AS42" s="33">
        <v>825</v>
      </c>
      <c r="AT42" s="34">
        <f t="shared" si="1"/>
        <v>0</v>
      </c>
      <c r="AU42" s="35" t="s">
        <v>42</v>
      </c>
      <c r="AV42" s="36"/>
      <c r="AW42" s="36"/>
      <c r="AX42" s="36"/>
      <c r="AY42" s="36"/>
      <c r="AZ42" s="36"/>
    </row>
    <row r="43" spans="1:52" ht="33.75" customHeight="1" x14ac:dyDescent="0.2">
      <c r="A43" s="136" t="s">
        <v>69</v>
      </c>
      <c r="B43" s="126"/>
      <c r="C43" s="127"/>
      <c r="D43" s="62"/>
      <c r="E43" s="40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62"/>
      <c r="AR43" s="55">
        <f t="shared" si="0"/>
        <v>0</v>
      </c>
      <c r="AS43" s="33">
        <v>300</v>
      </c>
      <c r="AT43" s="34">
        <f t="shared" si="1"/>
        <v>0</v>
      </c>
      <c r="AU43" s="35" t="s">
        <v>42</v>
      </c>
      <c r="AV43" s="36"/>
      <c r="AW43" s="36"/>
      <c r="AX43" s="36"/>
      <c r="AY43" s="36"/>
      <c r="AZ43" s="36"/>
    </row>
    <row r="44" spans="1:52" ht="42" customHeight="1" x14ac:dyDescent="0.2">
      <c r="A44" s="137" t="s">
        <v>70</v>
      </c>
      <c r="B44" s="109"/>
      <c r="C44" s="109"/>
      <c r="D44" s="64"/>
      <c r="E44" s="63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32">
        <f t="shared" si="0"/>
        <v>0</v>
      </c>
      <c r="AS44" s="65">
        <v>31</v>
      </c>
      <c r="AT44" s="34">
        <f t="shared" si="1"/>
        <v>0</v>
      </c>
      <c r="AU44" s="35" t="s">
        <v>42</v>
      </c>
      <c r="AV44" s="36"/>
      <c r="AW44" s="36"/>
      <c r="AX44" s="36"/>
      <c r="AY44" s="36"/>
      <c r="AZ44" s="36"/>
    </row>
    <row r="45" spans="1:52" ht="33.75" customHeight="1" x14ac:dyDescent="0.2">
      <c r="A45" s="136" t="s">
        <v>71</v>
      </c>
      <c r="B45" s="126"/>
      <c r="C45" s="127"/>
      <c r="D45" s="62"/>
      <c r="E45" s="40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62"/>
      <c r="AR45" s="32">
        <f t="shared" si="0"/>
        <v>0</v>
      </c>
      <c r="AS45" s="65">
        <v>15</v>
      </c>
      <c r="AT45" s="34">
        <f t="shared" si="1"/>
        <v>0</v>
      </c>
      <c r="AU45" s="35" t="s">
        <v>42</v>
      </c>
      <c r="AV45" s="36"/>
      <c r="AW45" s="36"/>
      <c r="AX45" s="36"/>
      <c r="AY45" s="36"/>
      <c r="AZ45" s="36"/>
    </row>
    <row r="46" spans="1:52" ht="33.75" customHeight="1" x14ac:dyDescent="0.2">
      <c r="A46" s="138" t="s">
        <v>72</v>
      </c>
      <c r="B46" s="126"/>
      <c r="C46" s="127"/>
      <c r="D46" s="66"/>
      <c r="E46" s="39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66"/>
      <c r="AJ46" s="31"/>
      <c r="AK46" s="31"/>
      <c r="AL46" s="31"/>
      <c r="AM46" s="31"/>
      <c r="AN46" s="31"/>
      <c r="AO46" s="31"/>
      <c r="AP46" s="31"/>
      <c r="AQ46" s="31"/>
      <c r="AR46" s="32">
        <f t="shared" si="0"/>
        <v>0</v>
      </c>
      <c r="AS46" s="65">
        <v>25</v>
      </c>
      <c r="AT46" s="34">
        <f t="shared" si="1"/>
        <v>0</v>
      </c>
      <c r="AU46" s="35" t="s">
        <v>42</v>
      </c>
      <c r="AV46" s="36"/>
      <c r="AW46" s="36"/>
      <c r="AX46" s="36"/>
      <c r="AY46" s="36"/>
      <c r="AZ46" s="36"/>
    </row>
    <row r="47" spans="1:52" ht="33.75" customHeight="1" x14ac:dyDescent="0.2">
      <c r="A47" s="136" t="s">
        <v>73</v>
      </c>
      <c r="B47" s="126"/>
      <c r="C47" s="127"/>
      <c r="D47" s="62"/>
      <c r="E47" s="40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2">
        <f t="shared" si="0"/>
        <v>0</v>
      </c>
      <c r="AS47" s="65">
        <v>150</v>
      </c>
      <c r="AT47" s="34">
        <f t="shared" si="1"/>
        <v>0</v>
      </c>
      <c r="AU47" s="35" t="s">
        <v>42</v>
      </c>
      <c r="AV47" s="36"/>
      <c r="AW47" s="36"/>
      <c r="AX47" s="36"/>
      <c r="AY47" s="36"/>
      <c r="AZ47" s="36"/>
    </row>
    <row r="48" spans="1:52" ht="33.75" customHeight="1" x14ac:dyDescent="0.2">
      <c r="A48" s="138" t="s">
        <v>74</v>
      </c>
      <c r="B48" s="126"/>
      <c r="C48" s="127"/>
      <c r="D48" s="66"/>
      <c r="E48" s="39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2">
        <f t="shared" si="0"/>
        <v>0</v>
      </c>
      <c r="AS48" s="65">
        <v>1465</v>
      </c>
      <c r="AT48" s="34">
        <f t="shared" si="1"/>
        <v>0</v>
      </c>
      <c r="AU48" s="35" t="s">
        <v>42</v>
      </c>
      <c r="AV48" s="36"/>
      <c r="AW48" s="36"/>
      <c r="AX48" s="36"/>
      <c r="AY48" s="36"/>
      <c r="AZ48" s="36"/>
    </row>
    <row r="49" spans="1:52" ht="33.75" customHeight="1" x14ac:dyDescent="0.2">
      <c r="A49" s="136" t="s">
        <v>75</v>
      </c>
      <c r="B49" s="126"/>
      <c r="C49" s="127"/>
      <c r="D49" s="62"/>
      <c r="E49" s="40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2">
        <f t="shared" si="0"/>
        <v>0</v>
      </c>
      <c r="AS49" s="65">
        <v>1565</v>
      </c>
      <c r="AT49" s="34">
        <f t="shared" si="1"/>
        <v>0</v>
      </c>
      <c r="AU49" s="35" t="s">
        <v>42</v>
      </c>
      <c r="AV49" s="36"/>
      <c r="AW49" s="36"/>
      <c r="AX49" s="36"/>
      <c r="AY49" s="36"/>
      <c r="AZ49" s="36"/>
    </row>
    <row r="50" spans="1:52" ht="33.75" customHeight="1" x14ac:dyDescent="0.2">
      <c r="A50" s="140" t="s">
        <v>76</v>
      </c>
      <c r="B50" s="126"/>
      <c r="C50" s="106"/>
      <c r="D50" s="104"/>
      <c r="E50" s="67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55">
        <f t="shared" si="0"/>
        <v>0</v>
      </c>
      <c r="AS50" s="65">
        <v>1885</v>
      </c>
      <c r="AT50" s="34">
        <f t="shared" si="1"/>
        <v>0</v>
      </c>
      <c r="AU50" s="35" t="s">
        <v>42</v>
      </c>
      <c r="AV50" s="36"/>
      <c r="AW50" s="36"/>
      <c r="AX50" s="36"/>
      <c r="AY50" s="36"/>
      <c r="AZ50" s="36"/>
    </row>
    <row r="51" spans="1:52" ht="33.75" customHeight="1" x14ac:dyDescent="0.2">
      <c r="A51" s="69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139"/>
      <c r="R51" s="126"/>
      <c r="S51" s="126"/>
      <c r="T51" s="126"/>
      <c r="U51" s="126"/>
      <c r="V51" s="126"/>
      <c r="W51" s="126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2"/>
      <c r="AR51" s="73"/>
      <c r="AS51" s="74"/>
      <c r="AT51" s="73"/>
      <c r="AU51" s="75"/>
      <c r="AV51" s="36"/>
      <c r="AW51" s="36"/>
      <c r="AX51" s="36"/>
      <c r="AY51" s="36"/>
      <c r="AZ51" s="36"/>
    </row>
    <row r="52" spans="1:52" ht="33.75" customHeight="1" x14ac:dyDescent="0.2">
      <c r="A52" s="141" t="s">
        <v>77</v>
      </c>
      <c r="B52" s="126"/>
      <c r="C52" s="126"/>
      <c r="D52" s="62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2">
        <f t="shared" ref="AR52:AR63" si="2">SUM(D52:AQ52)</f>
        <v>0</v>
      </c>
      <c r="AS52" s="33">
        <v>360</v>
      </c>
      <c r="AT52" s="76" t="s">
        <v>42</v>
      </c>
      <c r="AU52" s="77">
        <f t="shared" ref="AU52:AU63" si="3">AR52*AS52</f>
        <v>0</v>
      </c>
      <c r="AV52" s="36"/>
      <c r="AW52" s="36"/>
      <c r="AX52" s="36"/>
      <c r="AY52" s="36"/>
      <c r="AZ52" s="36"/>
    </row>
    <row r="53" spans="1:52" ht="52.5" customHeight="1" x14ac:dyDescent="0.2">
      <c r="A53" s="142" t="s">
        <v>78</v>
      </c>
      <c r="B53" s="126"/>
      <c r="C53" s="127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2">
        <f t="shared" si="2"/>
        <v>0</v>
      </c>
      <c r="AS53" s="33">
        <v>315</v>
      </c>
      <c r="AT53" s="76" t="s">
        <v>42</v>
      </c>
      <c r="AU53" s="77">
        <f t="shared" si="3"/>
        <v>0</v>
      </c>
      <c r="AV53" s="36"/>
      <c r="AW53" s="36"/>
      <c r="AX53" s="36"/>
      <c r="AY53" s="36"/>
      <c r="AZ53" s="36"/>
    </row>
    <row r="54" spans="1:52" ht="52.5" customHeight="1" x14ac:dyDescent="0.2">
      <c r="A54" s="143" t="s">
        <v>79</v>
      </c>
      <c r="B54" s="126"/>
      <c r="C54" s="127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2">
        <f t="shared" si="2"/>
        <v>0</v>
      </c>
      <c r="AS54" s="33">
        <v>365</v>
      </c>
      <c r="AT54" s="76" t="s">
        <v>42</v>
      </c>
      <c r="AU54" s="77">
        <f t="shared" si="3"/>
        <v>0</v>
      </c>
      <c r="AV54" s="36"/>
      <c r="AW54" s="36"/>
      <c r="AX54" s="36"/>
      <c r="AY54" s="36"/>
      <c r="AZ54" s="36"/>
    </row>
    <row r="55" spans="1:52" ht="33.75" customHeight="1" x14ac:dyDescent="0.2">
      <c r="A55" s="144" t="s">
        <v>80</v>
      </c>
      <c r="B55" s="126"/>
      <c r="C55" s="127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2">
        <f t="shared" si="2"/>
        <v>0</v>
      </c>
      <c r="AS55" s="33">
        <v>300</v>
      </c>
      <c r="AT55" s="76" t="s">
        <v>42</v>
      </c>
      <c r="AU55" s="77">
        <f t="shared" si="3"/>
        <v>0</v>
      </c>
      <c r="AV55" s="36"/>
      <c r="AW55" s="36"/>
      <c r="AX55" s="36"/>
      <c r="AY55" s="36"/>
      <c r="AZ55" s="36"/>
    </row>
    <row r="56" spans="1:52" ht="33.75" customHeight="1" x14ac:dyDescent="0.2">
      <c r="A56" s="141" t="s">
        <v>81</v>
      </c>
      <c r="B56" s="126"/>
      <c r="C56" s="127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62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62"/>
      <c r="AR56" s="32">
        <f t="shared" si="2"/>
        <v>0</v>
      </c>
      <c r="AS56" s="65">
        <v>140</v>
      </c>
      <c r="AT56" s="76" t="s">
        <v>42</v>
      </c>
      <c r="AU56" s="77">
        <f t="shared" si="3"/>
        <v>0</v>
      </c>
      <c r="AV56" s="36"/>
      <c r="AW56" s="36"/>
      <c r="AX56" s="36"/>
      <c r="AY56" s="36"/>
      <c r="AZ56" s="36"/>
    </row>
    <row r="57" spans="1:52" ht="33.75" customHeight="1" x14ac:dyDescent="0.2">
      <c r="A57" s="144" t="s">
        <v>82</v>
      </c>
      <c r="B57" s="126"/>
      <c r="C57" s="127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2">
        <f t="shared" si="2"/>
        <v>0</v>
      </c>
      <c r="AS57" s="65">
        <v>120</v>
      </c>
      <c r="AT57" s="76" t="s">
        <v>42</v>
      </c>
      <c r="AU57" s="77">
        <f t="shared" si="3"/>
        <v>0</v>
      </c>
      <c r="AV57" s="36"/>
      <c r="AW57" s="36"/>
      <c r="AX57" s="36"/>
      <c r="AY57" s="36"/>
      <c r="AZ57" s="36"/>
    </row>
    <row r="58" spans="1:52" ht="33.75" customHeight="1" x14ac:dyDescent="0.2">
      <c r="A58" s="141" t="s">
        <v>83</v>
      </c>
      <c r="B58" s="126"/>
      <c r="C58" s="127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2">
        <f t="shared" si="2"/>
        <v>0</v>
      </c>
      <c r="AS58" s="65">
        <v>110</v>
      </c>
      <c r="AT58" s="76" t="s">
        <v>42</v>
      </c>
      <c r="AU58" s="77">
        <f t="shared" si="3"/>
        <v>0</v>
      </c>
      <c r="AV58" s="36"/>
      <c r="AW58" s="36"/>
      <c r="AX58" s="36"/>
      <c r="AY58" s="36"/>
      <c r="AZ58" s="36"/>
    </row>
    <row r="59" spans="1:52" ht="33.75" customHeight="1" x14ac:dyDescent="0.2">
      <c r="A59" s="144" t="s">
        <v>84</v>
      </c>
      <c r="B59" s="126"/>
      <c r="C59" s="127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66"/>
      <c r="AB59" s="66"/>
      <c r="AC59" s="66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2">
        <f t="shared" si="2"/>
        <v>0</v>
      </c>
      <c r="AS59" s="65">
        <v>300</v>
      </c>
      <c r="AT59" s="76" t="s">
        <v>42</v>
      </c>
      <c r="AU59" s="77">
        <f t="shared" si="3"/>
        <v>0</v>
      </c>
      <c r="AV59" s="36"/>
      <c r="AW59" s="36"/>
      <c r="AX59" s="36"/>
      <c r="AY59" s="36"/>
      <c r="AZ59" s="36"/>
    </row>
    <row r="60" spans="1:52" ht="33.75" customHeight="1" x14ac:dyDescent="0.2">
      <c r="A60" s="141" t="s">
        <v>85</v>
      </c>
      <c r="B60" s="126"/>
      <c r="C60" s="127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62"/>
      <c r="AB60" s="62"/>
      <c r="AC60" s="62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2">
        <f t="shared" si="2"/>
        <v>0</v>
      </c>
      <c r="AS60" s="65">
        <v>400</v>
      </c>
      <c r="AT60" s="76" t="s">
        <v>42</v>
      </c>
      <c r="AU60" s="77">
        <f t="shared" si="3"/>
        <v>0</v>
      </c>
      <c r="AV60" s="36"/>
      <c r="AW60" s="36"/>
      <c r="AX60" s="36"/>
      <c r="AY60" s="36"/>
      <c r="AZ60" s="36"/>
    </row>
    <row r="61" spans="1:52" ht="57" customHeight="1" x14ac:dyDescent="0.2">
      <c r="A61" s="149" t="s">
        <v>86</v>
      </c>
      <c r="B61" s="126"/>
      <c r="C61" s="126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66"/>
      <c r="AK61" s="31"/>
      <c r="AL61" s="31"/>
      <c r="AM61" s="31"/>
      <c r="AN61" s="31"/>
      <c r="AO61" s="31"/>
      <c r="AP61" s="31"/>
      <c r="AQ61" s="31"/>
      <c r="AR61" s="32">
        <f t="shared" si="2"/>
        <v>0</v>
      </c>
      <c r="AS61" s="33">
        <v>355</v>
      </c>
      <c r="AT61" s="76" t="s">
        <v>42</v>
      </c>
      <c r="AU61" s="77">
        <f t="shared" si="3"/>
        <v>0</v>
      </c>
      <c r="AV61" s="36"/>
      <c r="AW61" s="36"/>
      <c r="AX61" s="36"/>
      <c r="AY61" s="36"/>
      <c r="AZ61" s="36"/>
    </row>
    <row r="62" spans="1:52" ht="57" customHeight="1" x14ac:dyDescent="0.2">
      <c r="A62" s="150" t="s">
        <v>87</v>
      </c>
      <c r="B62" s="126"/>
      <c r="C62" s="126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62"/>
      <c r="AK62" s="38"/>
      <c r="AL62" s="38"/>
      <c r="AM62" s="38"/>
      <c r="AN62" s="38"/>
      <c r="AO62" s="38"/>
      <c r="AP62" s="38"/>
      <c r="AQ62" s="38"/>
      <c r="AR62" s="32">
        <f t="shared" si="2"/>
        <v>0</v>
      </c>
      <c r="AS62" s="33">
        <v>150</v>
      </c>
      <c r="AT62" s="76" t="s">
        <v>42</v>
      </c>
      <c r="AU62" s="77">
        <f t="shared" si="3"/>
        <v>0</v>
      </c>
      <c r="AV62" s="36"/>
      <c r="AW62" s="36"/>
      <c r="AX62" s="36"/>
      <c r="AY62" s="36"/>
      <c r="AZ62" s="36"/>
    </row>
    <row r="63" spans="1:52" ht="33.75" customHeight="1" x14ac:dyDescent="0.2">
      <c r="A63" s="144" t="s">
        <v>88</v>
      </c>
      <c r="B63" s="126"/>
      <c r="C63" s="127"/>
      <c r="D63" s="66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66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66"/>
      <c r="AR63" s="32">
        <f t="shared" si="2"/>
        <v>0</v>
      </c>
      <c r="AS63" s="33">
        <v>480</v>
      </c>
      <c r="AT63" s="76" t="s">
        <v>42</v>
      </c>
      <c r="AU63" s="77">
        <f t="shared" si="3"/>
        <v>0</v>
      </c>
      <c r="AV63" s="36"/>
      <c r="AW63" s="36"/>
      <c r="AX63" s="36"/>
      <c r="AY63" s="36"/>
      <c r="AZ63" s="36"/>
    </row>
    <row r="64" spans="1:52" ht="15.75" customHeight="1" x14ac:dyDescent="0.2"/>
    <row r="65" spans="1:52" ht="34.5" customHeight="1" x14ac:dyDescent="0.4">
      <c r="A65" s="151"/>
      <c r="B65" s="146"/>
      <c r="C65" s="146"/>
      <c r="D65" s="78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145" t="s">
        <v>89</v>
      </c>
      <c r="AN65" s="146"/>
      <c r="AO65" s="146"/>
      <c r="AP65" s="146"/>
      <c r="AQ65" s="147"/>
      <c r="AR65" s="80"/>
      <c r="AS65" s="80"/>
      <c r="AT65" s="81">
        <f>SUM(AT16:AT50)</f>
        <v>0</v>
      </c>
      <c r="AU65" s="82"/>
      <c r="AV65" s="10"/>
      <c r="AW65" s="10"/>
      <c r="AX65" s="10"/>
      <c r="AY65" s="10"/>
      <c r="AZ65" s="10"/>
    </row>
    <row r="66" spans="1:52" ht="34.5" customHeight="1" x14ac:dyDescent="0.4">
      <c r="A66" s="83"/>
      <c r="B66" s="78"/>
      <c r="C66" s="78"/>
      <c r="D66" s="78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145" t="s">
        <v>90</v>
      </c>
      <c r="AN66" s="146"/>
      <c r="AO66" s="146"/>
      <c r="AP66" s="146"/>
      <c r="AQ66" s="147"/>
      <c r="AR66" s="80"/>
      <c r="AS66" s="80"/>
      <c r="AT66" s="84"/>
      <c r="AU66" s="85">
        <f>SUM(AU16:AU63)</f>
        <v>0</v>
      </c>
      <c r="AV66" s="10"/>
      <c r="AW66" s="10"/>
      <c r="AX66" s="10"/>
      <c r="AY66" s="10"/>
      <c r="AZ66" s="10"/>
    </row>
    <row r="67" spans="1:52" ht="34.5" customHeight="1" x14ac:dyDescent="0.4">
      <c r="A67" s="86"/>
      <c r="B67" s="78"/>
      <c r="C67" s="78"/>
      <c r="D67" s="78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78"/>
      <c r="AN67" s="78"/>
      <c r="AO67" s="78"/>
      <c r="AP67" s="78"/>
      <c r="AQ67" s="88"/>
      <c r="AR67" s="80"/>
      <c r="AS67" s="89"/>
      <c r="AT67" s="84"/>
      <c r="AU67" s="82"/>
      <c r="AV67" s="10"/>
      <c r="AW67" s="10"/>
      <c r="AX67" s="10"/>
      <c r="AY67" s="10"/>
      <c r="AZ67" s="10"/>
    </row>
    <row r="68" spans="1:52" ht="34.5" customHeight="1" x14ac:dyDescent="0.4">
      <c r="A68" s="90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2" t="s">
        <v>91</v>
      </c>
      <c r="AR68" s="93"/>
      <c r="AS68" s="94"/>
      <c r="AT68" s="93"/>
      <c r="AU68" s="95">
        <f>SUM(AT65+AU66)</f>
        <v>0</v>
      </c>
      <c r="AV68" s="10"/>
      <c r="AW68" s="10"/>
      <c r="AX68" s="10"/>
      <c r="AY68" s="10"/>
      <c r="AZ68" s="10"/>
    </row>
    <row r="69" spans="1:52" ht="13.5" customHeight="1" x14ac:dyDescent="0.2">
      <c r="A69" s="96"/>
      <c r="C69" s="10"/>
      <c r="D69" s="10"/>
      <c r="AA69" s="148"/>
      <c r="AB69" s="109"/>
      <c r="AC69" s="109"/>
      <c r="AD69" s="109"/>
      <c r="AE69" s="109"/>
      <c r="AF69" s="109"/>
      <c r="AG69" s="109"/>
      <c r="AH69" s="109"/>
      <c r="AI69" s="109"/>
      <c r="AJ69" s="97"/>
      <c r="AK69" s="97"/>
      <c r="AL69" s="97"/>
      <c r="AM69" s="97"/>
      <c r="AN69" s="97"/>
      <c r="AO69" s="97"/>
      <c r="AP69" s="97"/>
      <c r="AQ69" s="97"/>
      <c r="AR69" s="10"/>
      <c r="AS69" s="10"/>
      <c r="AT69" s="10"/>
      <c r="AU69" s="10"/>
      <c r="AV69" s="10"/>
      <c r="AW69" s="10"/>
      <c r="AX69" s="10"/>
      <c r="AY69" s="10"/>
      <c r="AZ69" s="10"/>
    </row>
    <row r="70" spans="1:52" ht="12.75" customHeight="1" x14ac:dyDescent="0.2">
      <c r="A70" s="98"/>
      <c r="C70" s="10"/>
      <c r="D70" s="10"/>
      <c r="AR70" s="10"/>
      <c r="AS70" s="10"/>
      <c r="AT70" s="10"/>
      <c r="AU70" s="10"/>
      <c r="AV70" s="10"/>
      <c r="AW70" s="10"/>
      <c r="AX70" s="10"/>
      <c r="AY70" s="10"/>
      <c r="AZ70" s="10"/>
    </row>
    <row r="71" spans="1:52" ht="12.75" customHeight="1" x14ac:dyDescent="0.2">
      <c r="C71" s="10"/>
      <c r="D71" s="10"/>
      <c r="AR71" s="10"/>
      <c r="AS71" s="10"/>
      <c r="AT71" s="10"/>
      <c r="AU71" s="10"/>
      <c r="AV71" s="10"/>
      <c r="AW71" s="10"/>
      <c r="AX71" s="10"/>
      <c r="AY71" s="10"/>
      <c r="AZ71" s="10"/>
    </row>
    <row r="72" spans="1:52" ht="15.75" customHeight="1" x14ac:dyDescent="0.2"/>
    <row r="73" spans="1:52" ht="15.75" customHeight="1" x14ac:dyDescent="0.2"/>
    <row r="74" spans="1:52" ht="15.75" customHeight="1" x14ac:dyDescent="0.2"/>
    <row r="75" spans="1:52" ht="15.75" customHeight="1" x14ac:dyDescent="0.2"/>
    <row r="76" spans="1:52" ht="15.75" customHeight="1" x14ac:dyDescent="0.2"/>
    <row r="77" spans="1:52" ht="15.75" customHeight="1" x14ac:dyDescent="0.2"/>
    <row r="78" spans="1:52" ht="15.75" customHeight="1" x14ac:dyDescent="0.2"/>
    <row r="79" spans="1:52" ht="15.75" customHeight="1" x14ac:dyDescent="0.2"/>
    <row r="80" spans="1:5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83">
    <mergeCell ref="A20:C20"/>
    <mergeCell ref="A21:C21"/>
    <mergeCell ref="A22:C22"/>
    <mergeCell ref="A11:B14"/>
    <mergeCell ref="A16:C16"/>
    <mergeCell ref="A17:C17"/>
    <mergeCell ref="A18:C18"/>
    <mergeCell ref="A19:C19"/>
    <mergeCell ref="Q15:X15"/>
    <mergeCell ref="E6:M6"/>
    <mergeCell ref="E7:M7"/>
    <mergeCell ref="N7:T7"/>
    <mergeCell ref="E8:M8"/>
    <mergeCell ref="N8:P8"/>
    <mergeCell ref="Q8:R8"/>
    <mergeCell ref="AR11:AR14"/>
    <mergeCell ref="AS11:AS14"/>
    <mergeCell ref="AT11:AT14"/>
    <mergeCell ref="AU11:AU14"/>
    <mergeCell ref="V5:AC5"/>
    <mergeCell ref="V6:AC6"/>
    <mergeCell ref="V7:AC7"/>
    <mergeCell ref="AD7:AK7"/>
    <mergeCell ref="V8:AC8"/>
    <mergeCell ref="AD8:AK8"/>
    <mergeCell ref="AD10:AK10"/>
    <mergeCell ref="N6:T6"/>
    <mergeCell ref="AD6:AK6"/>
    <mergeCell ref="E9:M9"/>
    <mergeCell ref="N9:T9"/>
    <mergeCell ref="V9:AC9"/>
    <mergeCell ref="AD9:AK9"/>
    <mergeCell ref="S8:T8"/>
    <mergeCell ref="H1:AU4"/>
    <mergeCell ref="E5:M5"/>
    <mergeCell ref="N5:T5"/>
    <mergeCell ref="AD5:AK5"/>
    <mergeCell ref="AM5:AR5"/>
    <mergeCell ref="AM65:AQ65"/>
    <mergeCell ref="AM66:AQ66"/>
    <mergeCell ref="AA69:AI69"/>
    <mergeCell ref="A58:C58"/>
    <mergeCell ref="A59:C59"/>
    <mergeCell ref="A60:C60"/>
    <mergeCell ref="A61:C61"/>
    <mergeCell ref="A62:C62"/>
    <mergeCell ref="A63:C63"/>
    <mergeCell ref="A65:C65"/>
    <mergeCell ref="A53:C53"/>
    <mergeCell ref="A54:C54"/>
    <mergeCell ref="A55:C55"/>
    <mergeCell ref="A56:C56"/>
    <mergeCell ref="A57:C57"/>
    <mergeCell ref="A48:C48"/>
    <mergeCell ref="A49:C49"/>
    <mergeCell ref="Q51:W51"/>
    <mergeCell ref="A50:C50"/>
    <mergeCell ref="A52:C52"/>
    <mergeCell ref="A43:C43"/>
    <mergeCell ref="A44:C44"/>
    <mergeCell ref="A45:C45"/>
    <mergeCell ref="A46:C46"/>
    <mergeCell ref="A47:C47"/>
    <mergeCell ref="A38:C38"/>
    <mergeCell ref="A39:C39"/>
    <mergeCell ref="A40:C40"/>
    <mergeCell ref="A41:C41"/>
    <mergeCell ref="A42:C42"/>
    <mergeCell ref="A33:C33"/>
    <mergeCell ref="A34:C34"/>
    <mergeCell ref="A35:C35"/>
    <mergeCell ref="A36:C36"/>
    <mergeCell ref="A37:C37"/>
    <mergeCell ref="A28:C28"/>
    <mergeCell ref="A29:C29"/>
    <mergeCell ref="A30:C30"/>
    <mergeCell ref="A31:C31"/>
    <mergeCell ref="A32:C32"/>
    <mergeCell ref="A23:C23"/>
    <mergeCell ref="A24:C24"/>
    <mergeCell ref="A25:C25"/>
    <mergeCell ref="A26:C26"/>
    <mergeCell ref="A27:C27"/>
  </mergeCells>
  <dataValidations count="15">
    <dataValidation type="list" allowBlank="1" sqref="N8" xr:uid="{00000000-0002-0000-0200-000000000000}">
      <formula1>"RP,Vac Breaker,Double Check,Anti-Siphon"</formula1>
    </dataValidation>
    <dataValidation type="list" allowBlank="1" sqref="A52" xr:uid="{00000000-0002-0000-0200-000001000000}">
      <formula1>"Quick coupler replacement 3/4"",Quick coupler replacement 1"""</formula1>
    </dataValidation>
    <dataValidation type="list" allowBlank="1" sqref="AD6" xr:uid="{00000000-0002-0000-0200-000002000000}">
      <formula1>"1,2,3,4,5,6,7,8,9,10,A,B,C,D,E,F,G,H,I,J,K,L,M,N,O,P,Q,R,S,T,U,V"</formula1>
    </dataValidation>
    <dataValidation type="custom" allowBlank="1" showDropDown="1" sqref="N9" xr:uid="{00000000-0002-0000-0200-000003000000}">
      <formula1>OR(NOT(ISERROR(DATEVALUE(N9))), AND(ISNUMBER(N9), LEFT(CELL("format", N9))="D"))</formula1>
    </dataValidation>
    <dataValidation type="list" allowBlank="1" sqref="N6" xr:uid="{00000000-0002-0000-0200-000004000000}">
      <formula1>"Yes,No,Partial"</formula1>
    </dataValidation>
    <dataValidation type="list" allowBlank="1" sqref="N7" xr:uid="{00000000-0002-0000-0200-000005000000}">
      <formula1>"Potable,Recycled,Mixed"</formula1>
    </dataValidation>
    <dataValidation type="list" allowBlank="1" sqref="N5" xr:uid="{00000000-0002-0000-0200-000006000000}">
      <formula1>"Yes,No"</formula1>
    </dataValidation>
    <dataValidation type="list" allowBlank="1" sqref="D16:N16 P16:AQ16 D17:AQ50 D52:AQ63" xr:uid="{00000000-0002-0000-0200-000007000000}">
      <formula1>"1,2,3,4,5,6,7,8,9,10"</formula1>
    </dataValidation>
    <dataValidation type="list" allowBlank="1" sqref="S8" xr:uid="{00000000-0002-0000-0200-000008000000}">
      <formula1>"Single POC,Multiple POC"</formula1>
    </dataValidation>
    <dataValidation type="list" allowBlank="1" sqref="D12:AQ12" xr:uid="{00000000-0002-0000-0200-000009000000}">
      <formula1>"Bubbler,Spray Head,Part Circle Rotor,Full Circle Rotor,Mix Rotor,Multi Stream Rotor,MP Rotator,On grade drip,Subsurface Drip,Point Source Drip"</formula1>
    </dataValidation>
    <dataValidation type="list" allowBlank="1" sqref="AD8" xr:uid="{00000000-0002-0000-0200-00000A000000}">
      <formula1>"WeatherTrak ETPRO3,WeatherTrak ET PRO2,WeatherTrak OptiFlow,WEATHERMATIC SMARTLINE,ET WATER,RAINMASTER SENTAR II,IRRITROL MC,RainBird IQ,RainDial,Tucor,Baseline,Hunter 2 wire,Hunter Node"</formula1>
    </dataValidation>
    <dataValidation type="list" allowBlank="1" sqref="O16" xr:uid="{00000000-0002-0000-0200-00000B000000}">
      <formula1>"1,2,3,4,5,6,7,8,9,10,11,12,13,14,15,16,17,18,19,20,21,22,23,24,25,26,27,28,29,30"</formula1>
    </dataValidation>
    <dataValidation type="list" allowBlank="1" sqref="Q8" xr:uid="{00000000-0002-0000-0200-00000C000000}">
      <formula1>"1/2"",3/4"",1"",1.5"",2"",2.5"",3"",4"",6"""</formula1>
    </dataValidation>
    <dataValidation type="list" allowBlank="1" sqref="D11:AQ11" xr:uid="{00000000-0002-0000-0200-00000D000000}">
      <formula1>"Shrubs,Ground Cover,Turf,Grasses,Native Grasses,Tree"</formula1>
    </dataValidation>
    <dataValidation type="list" allowBlank="1" sqref="D13:AQ13" xr:uid="{00000000-0002-0000-0200-00000E000000}">
      <formula1>"0-10,11-20,21-30,31-40,41-50,51-60,61-70,71-80,81-90,91-100,101-110,111-120,121-130,131-140,141-150,151-160,161-170,171-180,181-190,191-200,201-210,211-220,221-230,231-240,241-250,251-260,261-270,271-280,281-290,291-300"</formula1>
    </dataValidation>
  </dataValidations>
  <printOptions horizontalCentered="1" gridLines="1"/>
  <pageMargins left="0.25" right="0.25" top="0.75" bottom="0.75" header="0" footer="0"/>
  <pageSetup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Z1004"/>
  <sheetViews>
    <sheetView showGridLines="0" workbookViewId="0">
      <pane xSplit="3" ySplit="14" topLeftCell="D15" activePane="bottomRight" state="frozen"/>
      <selection pane="topRight" activeCell="D1" sqref="D1"/>
      <selection pane="bottomLeft" activeCell="A15" sqref="A15"/>
      <selection pane="bottomRight" activeCell="D15" sqref="D15"/>
    </sheetView>
  </sheetViews>
  <sheetFormatPr defaultColWidth="12.5703125" defaultRowHeight="15" customHeight="1" x14ac:dyDescent="0.2"/>
  <cols>
    <col min="1" max="1" width="18.28515625" customWidth="1"/>
    <col min="2" max="2" width="7.5703125" customWidth="1"/>
    <col min="3" max="3" width="29.85546875" customWidth="1"/>
    <col min="4" max="43" width="10.85546875" customWidth="1"/>
    <col min="44" max="44" width="13.28515625" customWidth="1"/>
    <col min="45" max="45" width="11.140625" customWidth="1"/>
    <col min="46" max="46" width="18.42578125" customWidth="1"/>
    <col min="47" max="47" width="18.85546875" customWidth="1"/>
    <col min="48" max="52" width="8" customWidth="1"/>
  </cols>
  <sheetData>
    <row r="1" spans="1:52" ht="12.75" customHeight="1" x14ac:dyDescent="0.2">
      <c r="A1" s="10"/>
      <c r="B1" s="10" t="s">
        <v>14</v>
      </c>
      <c r="C1" s="10"/>
      <c r="D1" s="10"/>
      <c r="E1" s="10"/>
      <c r="F1" s="10"/>
      <c r="G1" s="10"/>
      <c r="H1" s="152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"/>
      <c r="AW1" s="10"/>
      <c r="AX1" s="10"/>
      <c r="AY1" s="10"/>
      <c r="AZ1" s="10"/>
    </row>
    <row r="2" spans="1:52" ht="12.75" customHeight="1" x14ac:dyDescent="0.2">
      <c r="A2" s="10"/>
      <c r="B2" s="10"/>
      <c r="C2" s="10"/>
      <c r="D2" s="10"/>
      <c r="E2" s="10"/>
      <c r="F2" s="10"/>
      <c r="G2" s="10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09"/>
      <c r="AV2" s="10"/>
      <c r="AW2" s="10"/>
      <c r="AX2" s="10"/>
      <c r="AY2" s="10"/>
      <c r="AZ2" s="10"/>
    </row>
    <row r="3" spans="1:52" ht="12.75" customHeight="1" x14ac:dyDescent="0.2">
      <c r="A3" s="10"/>
      <c r="B3" s="10"/>
      <c r="C3" s="10"/>
      <c r="D3" s="10"/>
      <c r="E3" s="10"/>
      <c r="F3" s="10"/>
      <c r="G3" s="10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"/>
      <c r="AW3" s="10"/>
      <c r="AX3" s="10"/>
      <c r="AY3" s="10"/>
      <c r="AZ3" s="10"/>
    </row>
    <row r="4" spans="1:52" ht="12.75" customHeight="1" x14ac:dyDescent="0.2">
      <c r="A4" s="10"/>
      <c r="B4" s="10"/>
      <c r="C4" s="10"/>
      <c r="D4" s="10"/>
      <c r="E4" s="10"/>
      <c r="F4" s="10"/>
      <c r="G4" s="10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"/>
      <c r="AW4" s="10"/>
      <c r="AX4" s="10"/>
      <c r="AY4" s="10"/>
      <c r="AZ4" s="10"/>
    </row>
    <row r="5" spans="1:52" ht="28.5" customHeight="1" x14ac:dyDescent="0.2">
      <c r="A5" s="10"/>
      <c r="B5" s="10"/>
      <c r="C5" s="10"/>
      <c r="D5" s="10"/>
      <c r="E5" s="153" t="s">
        <v>15</v>
      </c>
      <c r="F5" s="126"/>
      <c r="G5" s="126"/>
      <c r="H5" s="126"/>
      <c r="I5" s="126"/>
      <c r="J5" s="126"/>
      <c r="K5" s="126"/>
      <c r="L5" s="126"/>
      <c r="M5" s="126"/>
      <c r="N5" s="154"/>
      <c r="O5" s="126"/>
      <c r="P5" s="126"/>
      <c r="Q5" s="126"/>
      <c r="R5" s="126"/>
      <c r="S5" s="126"/>
      <c r="T5" s="106"/>
      <c r="U5" s="10"/>
      <c r="V5" s="155" t="s">
        <v>16</v>
      </c>
      <c r="W5" s="126"/>
      <c r="X5" s="126"/>
      <c r="Y5" s="126"/>
      <c r="Z5" s="126"/>
      <c r="AA5" s="126"/>
      <c r="AB5" s="126"/>
      <c r="AC5" s="126"/>
      <c r="AD5" s="155"/>
      <c r="AE5" s="126"/>
      <c r="AF5" s="126"/>
      <c r="AG5" s="126"/>
      <c r="AH5" s="126"/>
      <c r="AI5" s="126"/>
      <c r="AJ5" s="126"/>
      <c r="AK5" s="106"/>
      <c r="AL5" s="10"/>
      <c r="AM5" s="156"/>
      <c r="AN5" s="109"/>
      <c r="AO5" s="109"/>
      <c r="AP5" s="109"/>
      <c r="AQ5" s="109"/>
      <c r="AR5" s="109"/>
      <c r="AS5" s="10"/>
      <c r="AT5" s="10"/>
      <c r="AU5" s="10"/>
      <c r="AV5" s="10"/>
      <c r="AW5" s="10"/>
      <c r="AX5" s="10"/>
      <c r="AY5" s="10"/>
      <c r="AZ5" s="10"/>
    </row>
    <row r="6" spans="1:52" ht="28.5" customHeight="1" x14ac:dyDescent="0.2">
      <c r="A6" s="10"/>
      <c r="B6" s="10"/>
      <c r="C6" s="10"/>
      <c r="D6" s="10"/>
      <c r="E6" s="153" t="s">
        <v>17</v>
      </c>
      <c r="F6" s="126"/>
      <c r="G6" s="126"/>
      <c r="H6" s="126"/>
      <c r="I6" s="126"/>
      <c r="J6" s="126"/>
      <c r="K6" s="126"/>
      <c r="L6" s="126"/>
      <c r="M6" s="126"/>
      <c r="N6" s="157"/>
      <c r="O6" s="126"/>
      <c r="P6" s="126"/>
      <c r="Q6" s="126"/>
      <c r="R6" s="126"/>
      <c r="S6" s="126"/>
      <c r="T6" s="106"/>
      <c r="U6" s="10"/>
      <c r="V6" s="155" t="s">
        <v>18</v>
      </c>
      <c r="W6" s="126"/>
      <c r="X6" s="126"/>
      <c r="Y6" s="126"/>
      <c r="Z6" s="126"/>
      <c r="AA6" s="126"/>
      <c r="AB6" s="126"/>
      <c r="AC6" s="126"/>
      <c r="AD6" s="155"/>
      <c r="AE6" s="126"/>
      <c r="AF6" s="126"/>
      <c r="AG6" s="126"/>
      <c r="AH6" s="126"/>
      <c r="AI6" s="126"/>
      <c r="AJ6" s="126"/>
      <c r="AK6" s="106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</row>
    <row r="7" spans="1:52" ht="28.5" customHeight="1" x14ac:dyDescent="0.5">
      <c r="A7" s="10"/>
      <c r="B7" s="10"/>
      <c r="C7" s="10"/>
      <c r="D7" s="10"/>
      <c r="E7" s="153" t="s">
        <v>20</v>
      </c>
      <c r="F7" s="126"/>
      <c r="G7" s="126"/>
      <c r="H7" s="126"/>
      <c r="I7" s="126"/>
      <c r="J7" s="126"/>
      <c r="K7" s="126"/>
      <c r="L7" s="126"/>
      <c r="M7" s="106"/>
      <c r="N7" s="157"/>
      <c r="O7" s="126"/>
      <c r="P7" s="126"/>
      <c r="Q7" s="126"/>
      <c r="R7" s="126"/>
      <c r="S7" s="126"/>
      <c r="T7" s="106"/>
      <c r="U7" s="11"/>
      <c r="V7" s="155" t="s">
        <v>21</v>
      </c>
      <c r="W7" s="126"/>
      <c r="X7" s="126"/>
      <c r="Y7" s="126"/>
      <c r="Z7" s="126"/>
      <c r="AA7" s="126"/>
      <c r="AB7" s="126"/>
      <c r="AC7" s="126"/>
      <c r="AD7" s="166"/>
      <c r="AE7" s="126"/>
      <c r="AF7" s="126"/>
      <c r="AG7" s="126"/>
      <c r="AH7" s="126"/>
      <c r="AI7" s="126"/>
      <c r="AJ7" s="126"/>
      <c r="AK7" s="106"/>
      <c r="AL7" s="12"/>
      <c r="AM7" s="12"/>
      <c r="AN7" s="12"/>
      <c r="AO7" s="12"/>
      <c r="AP7" s="12"/>
      <c r="AQ7" s="12"/>
      <c r="AR7" s="12"/>
      <c r="AS7" s="12"/>
      <c r="AT7" s="10"/>
      <c r="AU7" s="10"/>
      <c r="AV7" s="10"/>
      <c r="AW7" s="10"/>
      <c r="AX7" s="10"/>
      <c r="AY7" s="10"/>
      <c r="AZ7" s="10"/>
    </row>
    <row r="8" spans="1:52" ht="30.75" customHeight="1" x14ac:dyDescent="0.45">
      <c r="A8" s="10"/>
      <c r="B8" s="10"/>
      <c r="C8" s="10"/>
      <c r="D8" s="10"/>
      <c r="E8" s="153" t="s">
        <v>22</v>
      </c>
      <c r="F8" s="126"/>
      <c r="G8" s="126"/>
      <c r="H8" s="126"/>
      <c r="I8" s="126"/>
      <c r="J8" s="126"/>
      <c r="K8" s="126"/>
      <c r="L8" s="126"/>
      <c r="M8" s="106"/>
      <c r="N8" s="169"/>
      <c r="O8" s="126"/>
      <c r="P8" s="106"/>
      <c r="Q8" s="167"/>
      <c r="R8" s="106"/>
      <c r="S8" s="167"/>
      <c r="T8" s="106"/>
      <c r="U8" s="11"/>
      <c r="V8" s="155" t="s">
        <v>23</v>
      </c>
      <c r="W8" s="126"/>
      <c r="X8" s="126"/>
      <c r="Y8" s="126"/>
      <c r="Z8" s="126"/>
      <c r="AA8" s="126"/>
      <c r="AB8" s="126"/>
      <c r="AC8" s="126"/>
      <c r="AD8" s="155"/>
      <c r="AE8" s="126"/>
      <c r="AF8" s="126"/>
      <c r="AG8" s="126"/>
      <c r="AH8" s="126"/>
      <c r="AI8" s="126"/>
      <c r="AJ8" s="126"/>
      <c r="AK8" s="106"/>
      <c r="AL8" s="13"/>
      <c r="AM8" s="13"/>
      <c r="AN8" s="13"/>
      <c r="AO8" s="13"/>
      <c r="AP8" s="13"/>
      <c r="AQ8" s="13"/>
      <c r="AR8" s="13"/>
      <c r="AS8" s="13"/>
      <c r="AT8" s="10"/>
      <c r="AU8" s="10"/>
      <c r="AV8" s="10"/>
      <c r="AW8" s="10"/>
      <c r="AX8" s="10"/>
      <c r="AY8" s="10"/>
      <c r="AZ8" s="10"/>
    </row>
    <row r="9" spans="1:52" ht="28.5" customHeight="1" x14ac:dyDescent="0.45">
      <c r="A9" s="10"/>
      <c r="B9" s="10"/>
      <c r="C9" s="10"/>
      <c r="D9" s="10"/>
      <c r="E9" s="153" t="s">
        <v>24</v>
      </c>
      <c r="F9" s="126"/>
      <c r="G9" s="126"/>
      <c r="H9" s="126"/>
      <c r="I9" s="126"/>
      <c r="J9" s="126"/>
      <c r="K9" s="126"/>
      <c r="L9" s="126"/>
      <c r="M9" s="106"/>
      <c r="N9" s="158"/>
      <c r="O9" s="126"/>
      <c r="P9" s="126"/>
      <c r="Q9" s="126"/>
      <c r="R9" s="126"/>
      <c r="S9" s="126"/>
      <c r="T9" s="106"/>
      <c r="U9" s="14" t="s">
        <v>25</v>
      </c>
      <c r="V9" s="155" t="s">
        <v>26</v>
      </c>
      <c r="W9" s="126"/>
      <c r="X9" s="126"/>
      <c r="Y9" s="126"/>
      <c r="Z9" s="126"/>
      <c r="AA9" s="126"/>
      <c r="AB9" s="126"/>
      <c r="AC9" s="106"/>
      <c r="AD9" s="159"/>
      <c r="AE9" s="160"/>
      <c r="AF9" s="160"/>
      <c r="AG9" s="160"/>
      <c r="AH9" s="160"/>
      <c r="AI9" s="160"/>
      <c r="AJ9" s="160"/>
      <c r="AK9" s="118"/>
      <c r="AL9" s="13"/>
      <c r="AM9" s="13"/>
      <c r="AN9" s="13"/>
      <c r="AO9" s="13"/>
      <c r="AP9" s="13"/>
      <c r="AQ9" s="13"/>
      <c r="AR9" s="13"/>
      <c r="AS9" s="13"/>
      <c r="AT9" s="10"/>
      <c r="AU9" s="10"/>
      <c r="AV9" s="10"/>
      <c r="AW9" s="10"/>
      <c r="AX9" s="10"/>
      <c r="AY9" s="10"/>
      <c r="AZ9" s="10"/>
    </row>
    <row r="10" spans="1:52" ht="32.25" customHeight="1" x14ac:dyDescent="0.5">
      <c r="A10" s="10"/>
      <c r="B10" s="10"/>
      <c r="C10" s="10"/>
      <c r="D10" s="10"/>
      <c r="U10" s="11"/>
      <c r="AD10" s="155"/>
      <c r="AE10" s="126"/>
      <c r="AF10" s="126"/>
      <c r="AG10" s="126"/>
      <c r="AH10" s="126"/>
      <c r="AI10" s="126"/>
      <c r="AJ10" s="126"/>
      <c r="AK10" s="106"/>
      <c r="AL10" s="12"/>
      <c r="AM10" s="12"/>
      <c r="AN10" s="12"/>
      <c r="AO10" s="12"/>
      <c r="AP10" s="12"/>
      <c r="AQ10" s="12"/>
      <c r="AR10" s="12"/>
      <c r="AS10" s="12"/>
      <c r="AT10" s="10"/>
      <c r="AU10" s="10"/>
      <c r="AV10" s="10"/>
      <c r="AW10" s="10"/>
      <c r="AX10" s="10"/>
      <c r="AY10" s="10"/>
      <c r="AZ10" s="10"/>
    </row>
    <row r="11" spans="1:52" ht="34.5" customHeight="1" x14ac:dyDescent="0.2">
      <c r="A11" s="170" t="s">
        <v>27</v>
      </c>
      <c r="B11" s="116"/>
      <c r="C11" s="15" t="s">
        <v>28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61" t="s">
        <v>31</v>
      </c>
      <c r="AS11" s="161" t="s">
        <v>32</v>
      </c>
      <c r="AT11" s="164" t="s">
        <v>33</v>
      </c>
      <c r="AU11" s="165" t="s">
        <v>34</v>
      </c>
      <c r="AV11" s="10"/>
      <c r="AW11" s="10"/>
      <c r="AX11" s="10"/>
      <c r="AY11" s="10"/>
      <c r="AZ11" s="10"/>
    </row>
    <row r="12" spans="1:52" ht="34.5" customHeight="1" x14ac:dyDescent="0.2">
      <c r="A12" s="114"/>
      <c r="B12" s="171"/>
      <c r="C12" s="18" t="s">
        <v>35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162"/>
      <c r="AS12" s="162"/>
      <c r="AT12" s="162"/>
      <c r="AU12" s="162"/>
      <c r="AV12" s="10"/>
      <c r="AW12" s="10"/>
      <c r="AX12" s="10"/>
      <c r="AY12" s="10"/>
      <c r="AZ12" s="10"/>
    </row>
    <row r="13" spans="1:52" ht="34.5" customHeight="1" x14ac:dyDescent="0.2">
      <c r="A13" s="114"/>
      <c r="B13" s="171"/>
      <c r="C13" s="21" t="s">
        <v>38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162"/>
      <c r="AS13" s="162"/>
      <c r="AT13" s="162"/>
      <c r="AU13" s="162"/>
      <c r="AV13" s="10"/>
      <c r="AW13" s="10"/>
      <c r="AX13" s="10"/>
      <c r="AY13" s="10"/>
      <c r="AZ13" s="10"/>
    </row>
    <row r="14" spans="1:52" ht="34.5" customHeight="1" x14ac:dyDescent="0.35">
      <c r="A14" s="117"/>
      <c r="B14" s="118"/>
      <c r="C14" s="18" t="s">
        <v>39</v>
      </c>
      <c r="D14" s="23">
        <v>1</v>
      </c>
      <c r="E14" s="23">
        <v>2</v>
      </c>
      <c r="F14" s="23">
        <v>3</v>
      </c>
      <c r="G14" s="23">
        <v>4</v>
      </c>
      <c r="H14" s="23">
        <v>5</v>
      </c>
      <c r="I14" s="23">
        <v>6</v>
      </c>
      <c r="J14" s="23">
        <v>7</v>
      </c>
      <c r="K14" s="23">
        <v>8</v>
      </c>
      <c r="L14" s="23">
        <v>9</v>
      </c>
      <c r="M14" s="23">
        <v>10</v>
      </c>
      <c r="N14" s="23">
        <v>11</v>
      </c>
      <c r="O14" s="23">
        <v>12</v>
      </c>
      <c r="P14" s="23">
        <v>13</v>
      </c>
      <c r="Q14" s="23">
        <v>14</v>
      </c>
      <c r="R14" s="23">
        <v>15</v>
      </c>
      <c r="S14" s="23">
        <v>16</v>
      </c>
      <c r="T14" s="23">
        <v>17</v>
      </c>
      <c r="U14" s="23">
        <v>18</v>
      </c>
      <c r="V14" s="23">
        <v>19</v>
      </c>
      <c r="W14" s="23">
        <v>20</v>
      </c>
      <c r="X14" s="23">
        <v>21</v>
      </c>
      <c r="Y14" s="23">
        <v>22</v>
      </c>
      <c r="Z14" s="23">
        <v>23</v>
      </c>
      <c r="AA14" s="23">
        <v>24</v>
      </c>
      <c r="AB14" s="23">
        <v>25</v>
      </c>
      <c r="AC14" s="23">
        <v>26</v>
      </c>
      <c r="AD14" s="23">
        <v>27</v>
      </c>
      <c r="AE14" s="23">
        <v>28</v>
      </c>
      <c r="AF14" s="23">
        <v>29</v>
      </c>
      <c r="AG14" s="23">
        <v>30</v>
      </c>
      <c r="AH14" s="23">
        <v>31</v>
      </c>
      <c r="AI14" s="23">
        <v>32</v>
      </c>
      <c r="AJ14" s="23">
        <v>33</v>
      </c>
      <c r="AK14" s="23">
        <v>34</v>
      </c>
      <c r="AL14" s="23">
        <v>35</v>
      </c>
      <c r="AM14" s="23">
        <v>36</v>
      </c>
      <c r="AN14" s="23">
        <v>37</v>
      </c>
      <c r="AO14" s="23">
        <v>38</v>
      </c>
      <c r="AP14" s="23">
        <v>39</v>
      </c>
      <c r="AQ14" s="23">
        <v>40</v>
      </c>
      <c r="AR14" s="163"/>
      <c r="AS14" s="163"/>
      <c r="AT14" s="163"/>
      <c r="AU14" s="163"/>
      <c r="AV14" s="10"/>
      <c r="AW14" s="10"/>
      <c r="AX14" s="10"/>
      <c r="AY14" s="10"/>
      <c r="AZ14" s="10"/>
    </row>
    <row r="15" spans="1:52" ht="30" customHeight="1" x14ac:dyDescent="0.2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168" t="s">
        <v>40</v>
      </c>
      <c r="R15" s="126"/>
      <c r="S15" s="126"/>
      <c r="T15" s="126"/>
      <c r="U15" s="126"/>
      <c r="V15" s="126"/>
      <c r="W15" s="126"/>
      <c r="X15" s="126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6"/>
      <c r="AR15" s="27"/>
      <c r="AS15" s="27"/>
      <c r="AT15" s="28"/>
      <c r="AU15" s="29"/>
      <c r="AV15" s="10"/>
      <c r="AW15" s="10"/>
      <c r="AX15" s="10"/>
      <c r="AY15" s="10"/>
      <c r="AZ15" s="10"/>
    </row>
    <row r="16" spans="1:52" ht="33.75" customHeight="1" x14ac:dyDescent="0.2">
      <c r="A16" s="128" t="s">
        <v>41</v>
      </c>
      <c r="B16" s="126"/>
      <c r="C16" s="127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2">
        <f t="shared" ref="AR16:AR50" si="0">SUM(D16:AQ16)</f>
        <v>0</v>
      </c>
      <c r="AS16" s="33">
        <v>25</v>
      </c>
      <c r="AT16" s="34">
        <f t="shared" ref="AT16:AT50" si="1">AR16*AS16</f>
        <v>0</v>
      </c>
      <c r="AU16" s="35" t="s">
        <v>42</v>
      </c>
      <c r="AV16" s="36"/>
      <c r="AW16" s="36"/>
      <c r="AX16" s="36"/>
      <c r="AY16" s="36"/>
      <c r="AZ16" s="36"/>
    </row>
    <row r="17" spans="1:52" ht="33.75" customHeight="1" x14ac:dyDescent="0.2">
      <c r="A17" s="125" t="s">
        <v>43</v>
      </c>
      <c r="B17" s="126"/>
      <c r="C17" s="127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2">
        <f t="shared" si="0"/>
        <v>0</v>
      </c>
      <c r="AS17" s="33">
        <v>25</v>
      </c>
      <c r="AT17" s="34">
        <f t="shared" si="1"/>
        <v>0</v>
      </c>
      <c r="AU17" s="35" t="s">
        <v>42</v>
      </c>
      <c r="AV17" s="36"/>
      <c r="AW17" s="36"/>
      <c r="AX17" s="36"/>
      <c r="AY17" s="36"/>
      <c r="AZ17" s="36"/>
    </row>
    <row r="18" spans="1:52" ht="33.75" customHeight="1" x14ac:dyDescent="0.2">
      <c r="A18" s="172" t="s">
        <v>44</v>
      </c>
      <c r="B18" s="126"/>
      <c r="C18" s="126"/>
      <c r="D18" s="66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2">
        <f t="shared" si="0"/>
        <v>0</v>
      </c>
      <c r="AS18" s="33">
        <v>20</v>
      </c>
      <c r="AT18" s="34">
        <f t="shared" si="1"/>
        <v>0</v>
      </c>
      <c r="AU18" s="35" t="s">
        <v>42</v>
      </c>
      <c r="AV18" s="36"/>
      <c r="AW18" s="36"/>
      <c r="AX18" s="36"/>
      <c r="AY18" s="36"/>
      <c r="AZ18" s="36"/>
    </row>
    <row r="19" spans="1:52" ht="33.75" customHeight="1" x14ac:dyDescent="0.2">
      <c r="A19" s="125" t="s">
        <v>45</v>
      </c>
      <c r="B19" s="126"/>
      <c r="C19" s="127"/>
      <c r="D19" s="62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2">
        <f t="shared" si="0"/>
        <v>0</v>
      </c>
      <c r="AS19" s="33">
        <v>60</v>
      </c>
      <c r="AT19" s="34">
        <f t="shared" si="1"/>
        <v>0</v>
      </c>
      <c r="AU19" s="35" t="s">
        <v>42</v>
      </c>
      <c r="AV19" s="36"/>
      <c r="AW19" s="36"/>
      <c r="AX19" s="36"/>
      <c r="AY19" s="36"/>
      <c r="AZ19" s="36"/>
    </row>
    <row r="20" spans="1:52" ht="33.75" customHeight="1" x14ac:dyDescent="0.2">
      <c r="A20" s="128" t="s">
        <v>46</v>
      </c>
      <c r="B20" s="126"/>
      <c r="C20" s="127"/>
      <c r="D20" s="66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2">
        <f t="shared" si="0"/>
        <v>0</v>
      </c>
      <c r="AS20" s="33">
        <v>31</v>
      </c>
      <c r="AT20" s="34">
        <f t="shared" si="1"/>
        <v>0</v>
      </c>
      <c r="AU20" s="35" t="s">
        <v>42</v>
      </c>
      <c r="AV20" s="36"/>
      <c r="AW20" s="36"/>
      <c r="AX20" s="36"/>
      <c r="AY20" s="36"/>
      <c r="AZ20" s="36"/>
    </row>
    <row r="21" spans="1:52" ht="33.75" customHeight="1" x14ac:dyDescent="0.2">
      <c r="A21" s="125" t="s">
        <v>47</v>
      </c>
      <c r="B21" s="126"/>
      <c r="C21" s="127"/>
      <c r="D21" s="62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2">
        <f t="shared" si="0"/>
        <v>0</v>
      </c>
      <c r="AS21" s="33">
        <v>330</v>
      </c>
      <c r="AT21" s="34">
        <f t="shared" si="1"/>
        <v>0</v>
      </c>
      <c r="AU21" s="35" t="s">
        <v>42</v>
      </c>
      <c r="AV21" s="36"/>
      <c r="AW21" s="36"/>
      <c r="AX21" s="36"/>
      <c r="AY21" s="36"/>
      <c r="AZ21" s="36"/>
    </row>
    <row r="22" spans="1:52" ht="33.75" customHeight="1" x14ac:dyDescent="0.2">
      <c r="A22" s="128" t="s">
        <v>48</v>
      </c>
      <c r="B22" s="126"/>
      <c r="C22" s="127"/>
      <c r="D22" s="66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2">
        <f t="shared" si="0"/>
        <v>0</v>
      </c>
      <c r="AS22" s="33">
        <v>250</v>
      </c>
      <c r="AT22" s="34">
        <f t="shared" si="1"/>
        <v>0</v>
      </c>
      <c r="AU22" s="35" t="s">
        <v>42</v>
      </c>
      <c r="AV22" s="36"/>
      <c r="AW22" s="36"/>
      <c r="AX22" s="36"/>
      <c r="AY22" s="36"/>
      <c r="AZ22" s="36"/>
    </row>
    <row r="23" spans="1:52" ht="33.75" customHeight="1" x14ac:dyDescent="0.2">
      <c r="A23" s="125" t="s">
        <v>49</v>
      </c>
      <c r="B23" s="126"/>
      <c r="C23" s="127"/>
      <c r="D23" s="62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2">
        <f t="shared" si="0"/>
        <v>0</v>
      </c>
      <c r="AS23" s="33">
        <v>50</v>
      </c>
      <c r="AT23" s="34">
        <f t="shared" si="1"/>
        <v>0</v>
      </c>
      <c r="AU23" s="35" t="s">
        <v>42</v>
      </c>
      <c r="AV23" s="36"/>
      <c r="AW23" s="36"/>
      <c r="AX23" s="36"/>
      <c r="AY23" s="36"/>
      <c r="AZ23" s="36"/>
    </row>
    <row r="24" spans="1:52" ht="33.75" customHeight="1" x14ac:dyDescent="0.2">
      <c r="A24" s="128" t="s">
        <v>50</v>
      </c>
      <c r="B24" s="126"/>
      <c r="C24" s="127"/>
      <c r="D24" s="66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2">
        <f t="shared" si="0"/>
        <v>0</v>
      </c>
      <c r="AS24" s="33">
        <v>68</v>
      </c>
      <c r="AT24" s="34">
        <f t="shared" si="1"/>
        <v>0</v>
      </c>
      <c r="AU24" s="35" t="s">
        <v>42</v>
      </c>
      <c r="AV24" s="36"/>
      <c r="AW24" s="36"/>
      <c r="AX24" s="36"/>
      <c r="AY24" s="36"/>
      <c r="AZ24" s="36"/>
    </row>
    <row r="25" spans="1:52" ht="33.75" customHeight="1" x14ac:dyDescent="0.2">
      <c r="A25" s="125" t="s">
        <v>51</v>
      </c>
      <c r="B25" s="126"/>
      <c r="C25" s="127"/>
      <c r="D25" s="62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2">
        <f t="shared" si="0"/>
        <v>0</v>
      </c>
      <c r="AS25" s="33">
        <v>90</v>
      </c>
      <c r="AT25" s="34">
        <f t="shared" si="1"/>
        <v>0</v>
      </c>
      <c r="AU25" s="35" t="s">
        <v>42</v>
      </c>
      <c r="AV25" s="36"/>
      <c r="AW25" s="36"/>
      <c r="AX25" s="36"/>
      <c r="AY25" s="36"/>
      <c r="AZ25" s="36"/>
    </row>
    <row r="26" spans="1:52" ht="33.75" customHeight="1" x14ac:dyDescent="0.2">
      <c r="A26" s="128" t="s">
        <v>52</v>
      </c>
      <c r="B26" s="126"/>
      <c r="C26" s="127"/>
      <c r="D26" s="66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2">
        <f t="shared" si="0"/>
        <v>0</v>
      </c>
      <c r="AS26" s="33">
        <v>82</v>
      </c>
      <c r="AT26" s="34">
        <f t="shared" si="1"/>
        <v>0</v>
      </c>
      <c r="AU26" s="35" t="s">
        <v>42</v>
      </c>
      <c r="AV26" s="36"/>
      <c r="AW26" s="36"/>
      <c r="AX26" s="36"/>
      <c r="AY26" s="36"/>
      <c r="AZ26" s="36"/>
    </row>
    <row r="27" spans="1:52" ht="33.75" customHeight="1" x14ac:dyDescent="0.2">
      <c r="A27" s="125" t="s">
        <v>53</v>
      </c>
      <c r="B27" s="126"/>
      <c r="C27" s="127"/>
      <c r="D27" s="62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2">
        <f t="shared" si="0"/>
        <v>0</v>
      </c>
      <c r="AS27" s="33">
        <v>95</v>
      </c>
      <c r="AT27" s="34">
        <f t="shared" si="1"/>
        <v>0</v>
      </c>
      <c r="AU27" s="35" t="s">
        <v>42</v>
      </c>
      <c r="AV27" s="36"/>
      <c r="AW27" s="36"/>
      <c r="AX27" s="36"/>
      <c r="AY27" s="36"/>
      <c r="AZ27" s="36"/>
    </row>
    <row r="28" spans="1:52" ht="33.75" customHeight="1" x14ac:dyDescent="0.2">
      <c r="A28" s="128" t="s">
        <v>54</v>
      </c>
      <c r="B28" s="126"/>
      <c r="C28" s="127"/>
      <c r="D28" s="66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2">
        <f t="shared" si="0"/>
        <v>0</v>
      </c>
      <c r="AS28" s="33">
        <v>10</v>
      </c>
      <c r="AT28" s="34">
        <f t="shared" si="1"/>
        <v>0</v>
      </c>
      <c r="AU28" s="35" t="s">
        <v>42</v>
      </c>
      <c r="AV28" s="36"/>
      <c r="AW28" s="36"/>
      <c r="AX28" s="36"/>
      <c r="AY28" s="36"/>
      <c r="AZ28" s="36"/>
    </row>
    <row r="29" spans="1:52" ht="33.75" customHeight="1" x14ac:dyDescent="0.2">
      <c r="A29" s="125" t="s">
        <v>55</v>
      </c>
      <c r="B29" s="126"/>
      <c r="C29" s="127"/>
      <c r="D29" s="62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2">
        <f t="shared" si="0"/>
        <v>0</v>
      </c>
      <c r="AS29" s="33">
        <v>25</v>
      </c>
      <c r="AT29" s="34">
        <f t="shared" si="1"/>
        <v>0</v>
      </c>
      <c r="AU29" s="35" t="s">
        <v>42</v>
      </c>
      <c r="AV29" s="36"/>
      <c r="AW29" s="36"/>
      <c r="AX29" s="36"/>
      <c r="AY29" s="36"/>
      <c r="AZ29" s="36"/>
    </row>
    <row r="30" spans="1:52" ht="33.75" customHeight="1" x14ac:dyDescent="0.2">
      <c r="A30" s="128" t="s">
        <v>56</v>
      </c>
      <c r="B30" s="126"/>
      <c r="C30" s="127"/>
      <c r="D30" s="66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2">
        <f t="shared" si="0"/>
        <v>0</v>
      </c>
      <c r="AS30" s="33">
        <v>1481</v>
      </c>
      <c r="AT30" s="34">
        <f t="shared" si="1"/>
        <v>0</v>
      </c>
      <c r="AU30" s="35" t="s">
        <v>42</v>
      </c>
      <c r="AV30" s="36"/>
      <c r="AW30" s="36"/>
      <c r="AX30" s="36"/>
      <c r="AY30" s="36"/>
      <c r="AZ30" s="36"/>
    </row>
    <row r="31" spans="1:52" ht="33.75" customHeight="1" x14ac:dyDescent="0.2">
      <c r="A31" s="125" t="s">
        <v>57</v>
      </c>
      <c r="B31" s="126"/>
      <c r="C31" s="127"/>
      <c r="D31" s="62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2">
        <f t="shared" si="0"/>
        <v>0</v>
      </c>
      <c r="AS31" s="33">
        <v>2180</v>
      </c>
      <c r="AT31" s="34">
        <f t="shared" si="1"/>
        <v>0</v>
      </c>
      <c r="AU31" s="35" t="s">
        <v>42</v>
      </c>
      <c r="AV31" s="36"/>
      <c r="AW31" s="36"/>
      <c r="AX31" s="36"/>
      <c r="AY31" s="36"/>
      <c r="AZ31" s="36"/>
    </row>
    <row r="32" spans="1:52" ht="33.75" customHeight="1" x14ac:dyDescent="0.2">
      <c r="A32" s="128" t="s">
        <v>58</v>
      </c>
      <c r="B32" s="126"/>
      <c r="C32" s="127"/>
      <c r="D32" s="66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41">
        <f t="shared" si="0"/>
        <v>0</v>
      </c>
      <c r="AS32" s="42">
        <v>250</v>
      </c>
      <c r="AT32" s="34">
        <f t="shared" si="1"/>
        <v>0</v>
      </c>
      <c r="AU32" s="35" t="s">
        <v>42</v>
      </c>
      <c r="AV32" s="43"/>
      <c r="AW32" s="43"/>
      <c r="AX32" s="43"/>
      <c r="AY32" s="43"/>
      <c r="AZ32" s="43"/>
    </row>
    <row r="33" spans="1:52" ht="33.75" customHeight="1" x14ac:dyDescent="0.2">
      <c r="A33" s="125" t="s">
        <v>59</v>
      </c>
      <c r="B33" s="126"/>
      <c r="C33" s="127"/>
      <c r="D33" s="62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2">
        <f t="shared" si="0"/>
        <v>0</v>
      </c>
      <c r="AS33" s="33">
        <v>355</v>
      </c>
      <c r="AT33" s="34">
        <f t="shared" si="1"/>
        <v>0</v>
      </c>
      <c r="AU33" s="35" t="s">
        <v>42</v>
      </c>
      <c r="AV33" s="36"/>
      <c r="AW33" s="36"/>
      <c r="AX33" s="36"/>
      <c r="AY33" s="36"/>
      <c r="AZ33" s="36"/>
    </row>
    <row r="34" spans="1:52" ht="33.75" customHeight="1" x14ac:dyDescent="0.2">
      <c r="A34" s="128" t="s">
        <v>60</v>
      </c>
      <c r="B34" s="126"/>
      <c r="C34" s="127"/>
      <c r="D34" s="66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2">
        <f t="shared" si="0"/>
        <v>0</v>
      </c>
      <c r="AS34" s="33">
        <v>150</v>
      </c>
      <c r="AT34" s="34">
        <f t="shared" si="1"/>
        <v>0</v>
      </c>
      <c r="AU34" s="35" t="s">
        <v>42</v>
      </c>
      <c r="AV34" s="36"/>
      <c r="AW34" s="36"/>
      <c r="AX34" s="36"/>
      <c r="AY34" s="36"/>
      <c r="AZ34" s="36"/>
    </row>
    <row r="35" spans="1:52" ht="33.75" customHeight="1" x14ac:dyDescent="0.2">
      <c r="A35" s="125" t="s">
        <v>61</v>
      </c>
      <c r="B35" s="126"/>
      <c r="C35" s="127"/>
      <c r="D35" s="62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2">
        <f t="shared" si="0"/>
        <v>0</v>
      </c>
      <c r="AS35" s="33">
        <v>350</v>
      </c>
      <c r="AT35" s="34">
        <f t="shared" si="1"/>
        <v>0</v>
      </c>
      <c r="AU35" s="35" t="s">
        <v>42</v>
      </c>
      <c r="AV35" s="36"/>
      <c r="AW35" s="36"/>
      <c r="AX35" s="36"/>
      <c r="AY35" s="36"/>
      <c r="AZ35" s="36"/>
    </row>
    <row r="36" spans="1:52" ht="33.75" customHeight="1" x14ac:dyDescent="0.2">
      <c r="A36" s="129" t="s">
        <v>62</v>
      </c>
      <c r="B36" s="126"/>
      <c r="C36" s="127"/>
      <c r="D36" s="99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32">
        <f t="shared" si="0"/>
        <v>0</v>
      </c>
      <c r="AS36" s="33">
        <v>395</v>
      </c>
      <c r="AT36" s="34">
        <f t="shared" si="1"/>
        <v>0</v>
      </c>
      <c r="AU36" s="35" t="s">
        <v>42</v>
      </c>
      <c r="AV36" s="36"/>
      <c r="AW36" s="36"/>
      <c r="AX36" s="36"/>
      <c r="AY36" s="36"/>
      <c r="AZ36" s="36"/>
    </row>
    <row r="37" spans="1:52" ht="33.75" customHeight="1" x14ac:dyDescent="0.2">
      <c r="A37" s="130" t="s">
        <v>63</v>
      </c>
      <c r="B37" s="126"/>
      <c r="C37" s="127"/>
      <c r="D37" s="100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32">
        <f t="shared" si="0"/>
        <v>0</v>
      </c>
      <c r="AS37" s="33">
        <v>440</v>
      </c>
      <c r="AT37" s="34">
        <f t="shared" si="1"/>
        <v>0</v>
      </c>
      <c r="AU37" s="35" t="s">
        <v>42</v>
      </c>
      <c r="AV37" s="36"/>
      <c r="AW37" s="36"/>
      <c r="AX37" s="36"/>
      <c r="AY37" s="36"/>
      <c r="AZ37" s="36"/>
    </row>
    <row r="38" spans="1:52" ht="33.75" customHeight="1" x14ac:dyDescent="0.2">
      <c r="A38" s="131" t="s">
        <v>64</v>
      </c>
      <c r="B38" s="126"/>
      <c r="C38" s="127"/>
      <c r="D38" s="51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51"/>
      <c r="AR38" s="32">
        <f t="shared" si="0"/>
        <v>0</v>
      </c>
      <c r="AS38" s="33">
        <v>550</v>
      </c>
      <c r="AT38" s="34">
        <f t="shared" si="1"/>
        <v>0</v>
      </c>
      <c r="AU38" s="35" t="s">
        <v>42</v>
      </c>
      <c r="AV38" s="36"/>
      <c r="AW38" s="36"/>
      <c r="AX38" s="36"/>
      <c r="AY38" s="36"/>
      <c r="AZ38" s="36"/>
    </row>
    <row r="39" spans="1:52" ht="33.75" customHeight="1" x14ac:dyDescent="0.2">
      <c r="A39" s="132" t="s">
        <v>65</v>
      </c>
      <c r="B39" s="126"/>
      <c r="C39" s="106"/>
      <c r="D39" s="54"/>
      <c r="E39" s="53"/>
      <c r="F39" s="53"/>
      <c r="G39" s="53"/>
      <c r="H39" s="53"/>
      <c r="I39" s="54"/>
      <c r="J39" s="54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5">
        <f t="shared" si="0"/>
        <v>0</v>
      </c>
      <c r="AS39" s="33">
        <v>600</v>
      </c>
      <c r="AT39" s="34">
        <f t="shared" si="1"/>
        <v>0</v>
      </c>
      <c r="AU39" s="35" t="s">
        <v>42</v>
      </c>
      <c r="AV39" s="36"/>
      <c r="AW39" s="36"/>
      <c r="AX39" s="36"/>
      <c r="AY39" s="36"/>
      <c r="AZ39" s="36"/>
    </row>
    <row r="40" spans="1:52" ht="33.75" customHeight="1" x14ac:dyDescent="0.2">
      <c r="A40" s="133" t="s">
        <v>66</v>
      </c>
      <c r="B40" s="126"/>
      <c r="C40" s="127"/>
      <c r="D40" s="101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32">
        <f t="shared" si="0"/>
        <v>0</v>
      </c>
      <c r="AS40" s="33">
        <v>650</v>
      </c>
      <c r="AT40" s="34">
        <f t="shared" si="1"/>
        <v>0</v>
      </c>
      <c r="AU40" s="35" t="s">
        <v>42</v>
      </c>
      <c r="AV40" s="36"/>
      <c r="AW40" s="36"/>
      <c r="AX40" s="36"/>
      <c r="AY40" s="36"/>
      <c r="AZ40" s="36"/>
    </row>
    <row r="41" spans="1:52" ht="33.75" customHeight="1" x14ac:dyDescent="0.2">
      <c r="A41" s="134" t="s">
        <v>67</v>
      </c>
      <c r="B41" s="126"/>
      <c r="C41" s="106"/>
      <c r="D41" s="102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5">
        <f t="shared" si="0"/>
        <v>0</v>
      </c>
      <c r="AS41" s="33">
        <v>700</v>
      </c>
      <c r="AT41" s="34">
        <f t="shared" si="1"/>
        <v>0</v>
      </c>
      <c r="AU41" s="35" t="s">
        <v>42</v>
      </c>
      <c r="AV41" s="36"/>
      <c r="AW41" s="36"/>
      <c r="AX41" s="36"/>
      <c r="AY41" s="36"/>
      <c r="AZ41" s="36"/>
    </row>
    <row r="42" spans="1:52" ht="33.75" customHeight="1" x14ac:dyDescent="0.2">
      <c r="A42" s="135" t="s">
        <v>68</v>
      </c>
      <c r="B42" s="126"/>
      <c r="C42" s="106"/>
      <c r="D42" s="103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55">
        <f t="shared" si="0"/>
        <v>0</v>
      </c>
      <c r="AS42" s="33">
        <v>825</v>
      </c>
      <c r="AT42" s="34">
        <f t="shared" si="1"/>
        <v>0</v>
      </c>
      <c r="AU42" s="35" t="s">
        <v>42</v>
      </c>
      <c r="AV42" s="36"/>
      <c r="AW42" s="36"/>
      <c r="AX42" s="36"/>
      <c r="AY42" s="36"/>
      <c r="AZ42" s="36"/>
    </row>
    <row r="43" spans="1:52" ht="33.75" customHeight="1" x14ac:dyDescent="0.2">
      <c r="A43" s="136" t="s">
        <v>69</v>
      </c>
      <c r="B43" s="126"/>
      <c r="C43" s="127"/>
      <c r="D43" s="62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62"/>
      <c r="AR43" s="55">
        <f t="shared" si="0"/>
        <v>0</v>
      </c>
      <c r="AS43" s="33">
        <v>300</v>
      </c>
      <c r="AT43" s="34">
        <f t="shared" si="1"/>
        <v>0</v>
      </c>
      <c r="AU43" s="35" t="s">
        <v>42</v>
      </c>
      <c r="AV43" s="36"/>
      <c r="AW43" s="36"/>
      <c r="AX43" s="36"/>
      <c r="AY43" s="36"/>
      <c r="AZ43" s="36"/>
    </row>
    <row r="44" spans="1:52" ht="42" customHeight="1" x14ac:dyDescent="0.2">
      <c r="A44" s="137" t="s">
        <v>70</v>
      </c>
      <c r="B44" s="109"/>
      <c r="C44" s="109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32">
        <f t="shared" si="0"/>
        <v>0</v>
      </c>
      <c r="AS44" s="65">
        <v>31</v>
      </c>
      <c r="AT44" s="34">
        <f t="shared" si="1"/>
        <v>0</v>
      </c>
      <c r="AU44" s="35" t="s">
        <v>42</v>
      </c>
      <c r="AV44" s="36"/>
      <c r="AW44" s="36"/>
      <c r="AX44" s="36"/>
      <c r="AY44" s="36"/>
      <c r="AZ44" s="36"/>
    </row>
    <row r="45" spans="1:52" ht="33.75" customHeight="1" x14ac:dyDescent="0.2">
      <c r="A45" s="136" t="s">
        <v>71</v>
      </c>
      <c r="B45" s="126"/>
      <c r="C45" s="127"/>
      <c r="D45" s="62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62"/>
      <c r="AR45" s="32">
        <f t="shared" si="0"/>
        <v>0</v>
      </c>
      <c r="AS45" s="65">
        <v>15</v>
      </c>
      <c r="AT45" s="34">
        <f t="shared" si="1"/>
        <v>0</v>
      </c>
      <c r="AU45" s="35" t="s">
        <v>42</v>
      </c>
      <c r="AV45" s="36"/>
      <c r="AW45" s="36"/>
      <c r="AX45" s="36"/>
      <c r="AY45" s="36"/>
      <c r="AZ45" s="36"/>
    </row>
    <row r="46" spans="1:52" ht="33.75" customHeight="1" x14ac:dyDescent="0.2">
      <c r="A46" s="138" t="s">
        <v>72</v>
      </c>
      <c r="B46" s="126"/>
      <c r="C46" s="127"/>
      <c r="D46" s="66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66"/>
      <c r="AJ46" s="31"/>
      <c r="AK46" s="31"/>
      <c r="AL46" s="31"/>
      <c r="AM46" s="31"/>
      <c r="AN46" s="31"/>
      <c r="AO46" s="31"/>
      <c r="AP46" s="31"/>
      <c r="AQ46" s="31"/>
      <c r="AR46" s="32">
        <f t="shared" si="0"/>
        <v>0</v>
      </c>
      <c r="AS46" s="65">
        <v>25</v>
      </c>
      <c r="AT46" s="34">
        <f t="shared" si="1"/>
        <v>0</v>
      </c>
      <c r="AU46" s="35" t="s">
        <v>42</v>
      </c>
      <c r="AV46" s="36"/>
      <c r="AW46" s="36"/>
      <c r="AX46" s="36"/>
      <c r="AY46" s="36"/>
      <c r="AZ46" s="36"/>
    </row>
    <row r="47" spans="1:52" ht="33.75" customHeight="1" x14ac:dyDescent="0.2">
      <c r="A47" s="136" t="s">
        <v>73</v>
      </c>
      <c r="B47" s="126"/>
      <c r="C47" s="127"/>
      <c r="D47" s="62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2">
        <f t="shared" si="0"/>
        <v>0</v>
      </c>
      <c r="AS47" s="65">
        <v>150</v>
      </c>
      <c r="AT47" s="34">
        <f t="shared" si="1"/>
        <v>0</v>
      </c>
      <c r="AU47" s="35" t="s">
        <v>42</v>
      </c>
      <c r="AV47" s="36"/>
      <c r="AW47" s="36"/>
      <c r="AX47" s="36"/>
      <c r="AY47" s="36"/>
      <c r="AZ47" s="36"/>
    </row>
    <row r="48" spans="1:52" ht="33.75" customHeight="1" x14ac:dyDescent="0.2">
      <c r="A48" s="138" t="s">
        <v>74</v>
      </c>
      <c r="B48" s="126"/>
      <c r="C48" s="127"/>
      <c r="D48" s="66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2">
        <f t="shared" si="0"/>
        <v>0</v>
      </c>
      <c r="AS48" s="65">
        <v>1465</v>
      </c>
      <c r="AT48" s="34">
        <f t="shared" si="1"/>
        <v>0</v>
      </c>
      <c r="AU48" s="35" t="s">
        <v>42</v>
      </c>
      <c r="AV48" s="36"/>
      <c r="AW48" s="36"/>
      <c r="AX48" s="36"/>
      <c r="AY48" s="36"/>
      <c r="AZ48" s="36"/>
    </row>
    <row r="49" spans="1:52" ht="33.75" customHeight="1" x14ac:dyDescent="0.2">
      <c r="A49" s="136" t="s">
        <v>75</v>
      </c>
      <c r="B49" s="126"/>
      <c r="C49" s="127"/>
      <c r="D49" s="62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2">
        <f t="shared" si="0"/>
        <v>0</v>
      </c>
      <c r="AS49" s="65">
        <v>1565</v>
      </c>
      <c r="AT49" s="34">
        <f t="shared" si="1"/>
        <v>0</v>
      </c>
      <c r="AU49" s="35" t="s">
        <v>42</v>
      </c>
      <c r="AV49" s="36"/>
      <c r="AW49" s="36"/>
      <c r="AX49" s="36"/>
      <c r="AY49" s="36"/>
      <c r="AZ49" s="36"/>
    </row>
    <row r="50" spans="1:52" ht="33.75" customHeight="1" x14ac:dyDescent="0.2">
      <c r="A50" s="140" t="s">
        <v>76</v>
      </c>
      <c r="B50" s="126"/>
      <c r="C50" s="106"/>
      <c r="D50" s="104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55">
        <f t="shared" si="0"/>
        <v>0</v>
      </c>
      <c r="AS50" s="65">
        <v>1885</v>
      </c>
      <c r="AT50" s="34">
        <f t="shared" si="1"/>
        <v>0</v>
      </c>
      <c r="AU50" s="35" t="s">
        <v>42</v>
      </c>
      <c r="AV50" s="36"/>
      <c r="AW50" s="36"/>
      <c r="AX50" s="36"/>
      <c r="AY50" s="36"/>
      <c r="AZ50" s="36"/>
    </row>
    <row r="51" spans="1:52" ht="33.75" customHeight="1" x14ac:dyDescent="0.2">
      <c r="A51" s="69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139"/>
      <c r="R51" s="126"/>
      <c r="S51" s="126"/>
      <c r="T51" s="126"/>
      <c r="U51" s="126"/>
      <c r="V51" s="126"/>
      <c r="W51" s="126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2"/>
      <c r="AR51" s="73"/>
      <c r="AS51" s="74"/>
      <c r="AT51" s="73"/>
      <c r="AU51" s="75"/>
      <c r="AV51" s="36"/>
      <c r="AW51" s="36"/>
      <c r="AX51" s="36"/>
      <c r="AY51" s="36"/>
      <c r="AZ51" s="36"/>
    </row>
    <row r="52" spans="1:52" ht="33.75" customHeight="1" x14ac:dyDescent="0.2">
      <c r="A52" s="141" t="s">
        <v>77</v>
      </c>
      <c r="B52" s="126"/>
      <c r="C52" s="126"/>
      <c r="D52" s="62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2">
        <f t="shared" ref="AR52:AR63" si="2">SUM(D52:AQ52)</f>
        <v>0</v>
      </c>
      <c r="AS52" s="33">
        <v>360</v>
      </c>
      <c r="AT52" s="76" t="s">
        <v>42</v>
      </c>
      <c r="AU52" s="77">
        <f t="shared" ref="AU52:AU63" si="3">AR52*AS52</f>
        <v>0</v>
      </c>
      <c r="AV52" s="36"/>
      <c r="AW52" s="36"/>
      <c r="AX52" s="36"/>
      <c r="AY52" s="36"/>
      <c r="AZ52" s="36"/>
    </row>
    <row r="53" spans="1:52" ht="52.5" customHeight="1" x14ac:dyDescent="0.2">
      <c r="A53" s="142" t="s">
        <v>78</v>
      </c>
      <c r="B53" s="126"/>
      <c r="C53" s="127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2">
        <f t="shared" si="2"/>
        <v>0</v>
      </c>
      <c r="AS53" s="33">
        <v>315</v>
      </c>
      <c r="AT53" s="76" t="s">
        <v>42</v>
      </c>
      <c r="AU53" s="77">
        <f t="shared" si="3"/>
        <v>0</v>
      </c>
      <c r="AV53" s="36"/>
      <c r="AW53" s="36"/>
      <c r="AX53" s="36"/>
      <c r="AY53" s="36"/>
      <c r="AZ53" s="36"/>
    </row>
    <row r="54" spans="1:52" ht="52.5" customHeight="1" x14ac:dyDescent="0.2">
      <c r="A54" s="143" t="s">
        <v>79</v>
      </c>
      <c r="B54" s="126"/>
      <c r="C54" s="127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2">
        <f t="shared" si="2"/>
        <v>0</v>
      </c>
      <c r="AS54" s="33">
        <v>365</v>
      </c>
      <c r="AT54" s="76" t="s">
        <v>42</v>
      </c>
      <c r="AU54" s="77">
        <f t="shared" si="3"/>
        <v>0</v>
      </c>
      <c r="AV54" s="36"/>
      <c r="AW54" s="36"/>
      <c r="AX54" s="36"/>
      <c r="AY54" s="36"/>
      <c r="AZ54" s="36"/>
    </row>
    <row r="55" spans="1:52" ht="33.75" customHeight="1" x14ac:dyDescent="0.2">
      <c r="A55" s="144" t="s">
        <v>80</v>
      </c>
      <c r="B55" s="126"/>
      <c r="C55" s="127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2">
        <f t="shared" si="2"/>
        <v>0</v>
      </c>
      <c r="AS55" s="33">
        <v>300</v>
      </c>
      <c r="AT55" s="76" t="s">
        <v>42</v>
      </c>
      <c r="AU55" s="77">
        <f t="shared" si="3"/>
        <v>0</v>
      </c>
      <c r="AV55" s="36"/>
      <c r="AW55" s="36"/>
      <c r="AX55" s="36"/>
      <c r="AY55" s="36"/>
      <c r="AZ55" s="36"/>
    </row>
    <row r="56" spans="1:52" ht="33.75" customHeight="1" x14ac:dyDescent="0.2">
      <c r="A56" s="141" t="s">
        <v>81</v>
      </c>
      <c r="B56" s="126"/>
      <c r="C56" s="127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62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62"/>
      <c r="AR56" s="32">
        <f t="shared" si="2"/>
        <v>0</v>
      </c>
      <c r="AS56" s="65">
        <v>140</v>
      </c>
      <c r="AT56" s="76" t="s">
        <v>42</v>
      </c>
      <c r="AU56" s="77">
        <f t="shared" si="3"/>
        <v>0</v>
      </c>
      <c r="AV56" s="36"/>
      <c r="AW56" s="36"/>
      <c r="AX56" s="36"/>
      <c r="AY56" s="36"/>
      <c r="AZ56" s="36"/>
    </row>
    <row r="57" spans="1:52" ht="33.75" customHeight="1" x14ac:dyDescent="0.2">
      <c r="A57" s="144" t="s">
        <v>82</v>
      </c>
      <c r="B57" s="126"/>
      <c r="C57" s="127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2">
        <f t="shared" si="2"/>
        <v>0</v>
      </c>
      <c r="AS57" s="65">
        <v>120</v>
      </c>
      <c r="AT57" s="76" t="s">
        <v>42</v>
      </c>
      <c r="AU57" s="77">
        <f t="shared" si="3"/>
        <v>0</v>
      </c>
      <c r="AV57" s="36"/>
      <c r="AW57" s="36"/>
      <c r="AX57" s="36"/>
      <c r="AY57" s="36"/>
      <c r="AZ57" s="36"/>
    </row>
    <row r="58" spans="1:52" ht="33.75" customHeight="1" x14ac:dyDescent="0.2">
      <c r="A58" s="141" t="s">
        <v>83</v>
      </c>
      <c r="B58" s="126"/>
      <c r="C58" s="127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2">
        <f t="shared" si="2"/>
        <v>0</v>
      </c>
      <c r="AS58" s="65">
        <v>110</v>
      </c>
      <c r="AT58" s="76" t="s">
        <v>42</v>
      </c>
      <c r="AU58" s="77">
        <f t="shared" si="3"/>
        <v>0</v>
      </c>
      <c r="AV58" s="36"/>
      <c r="AW58" s="36"/>
      <c r="AX58" s="36"/>
      <c r="AY58" s="36"/>
      <c r="AZ58" s="36"/>
    </row>
    <row r="59" spans="1:52" ht="33.75" customHeight="1" x14ac:dyDescent="0.2">
      <c r="A59" s="144" t="s">
        <v>84</v>
      </c>
      <c r="B59" s="126"/>
      <c r="C59" s="127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66"/>
      <c r="AB59" s="66"/>
      <c r="AC59" s="66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2">
        <f t="shared" si="2"/>
        <v>0</v>
      </c>
      <c r="AS59" s="65">
        <v>300</v>
      </c>
      <c r="AT59" s="76" t="s">
        <v>42</v>
      </c>
      <c r="AU59" s="77">
        <f t="shared" si="3"/>
        <v>0</v>
      </c>
      <c r="AV59" s="36"/>
      <c r="AW59" s="36"/>
      <c r="AX59" s="36"/>
      <c r="AY59" s="36"/>
      <c r="AZ59" s="36"/>
    </row>
    <row r="60" spans="1:52" ht="33.75" customHeight="1" x14ac:dyDescent="0.2">
      <c r="A60" s="141" t="s">
        <v>85</v>
      </c>
      <c r="B60" s="126"/>
      <c r="C60" s="127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62"/>
      <c r="AB60" s="62"/>
      <c r="AC60" s="62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2">
        <f t="shared" si="2"/>
        <v>0</v>
      </c>
      <c r="AS60" s="65">
        <v>400</v>
      </c>
      <c r="AT60" s="76" t="s">
        <v>42</v>
      </c>
      <c r="AU60" s="77">
        <f t="shared" si="3"/>
        <v>0</v>
      </c>
      <c r="AV60" s="36"/>
      <c r="AW60" s="36"/>
      <c r="AX60" s="36"/>
      <c r="AY60" s="36"/>
      <c r="AZ60" s="36"/>
    </row>
    <row r="61" spans="1:52" ht="57" customHeight="1" x14ac:dyDescent="0.2">
      <c r="A61" s="149" t="s">
        <v>86</v>
      </c>
      <c r="B61" s="126"/>
      <c r="C61" s="126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66"/>
      <c r="AK61" s="31"/>
      <c r="AL61" s="31"/>
      <c r="AM61" s="31"/>
      <c r="AN61" s="31"/>
      <c r="AO61" s="31"/>
      <c r="AP61" s="31"/>
      <c r="AQ61" s="31"/>
      <c r="AR61" s="32">
        <f t="shared" si="2"/>
        <v>0</v>
      </c>
      <c r="AS61" s="33">
        <v>355</v>
      </c>
      <c r="AT61" s="76" t="s">
        <v>42</v>
      </c>
      <c r="AU61" s="77">
        <f t="shared" si="3"/>
        <v>0</v>
      </c>
      <c r="AV61" s="36"/>
      <c r="AW61" s="36"/>
      <c r="AX61" s="36"/>
      <c r="AY61" s="36"/>
      <c r="AZ61" s="36"/>
    </row>
    <row r="62" spans="1:52" ht="57" customHeight="1" x14ac:dyDescent="0.2">
      <c r="A62" s="150" t="s">
        <v>87</v>
      </c>
      <c r="B62" s="126"/>
      <c r="C62" s="126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62"/>
      <c r="AK62" s="38"/>
      <c r="AL62" s="38"/>
      <c r="AM62" s="38"/>
      <c r="AN62" s="38"/>
      <c r="AO62" s="38"/>
      <c r="AP62" s="38"/>
      <c r="AQ62" s="38"/>
      <c r="AR62" s="32">
        <f t="shared" si="2"/>
        <v>0</v>
      </c>
      <c r="AS62" s="33">
        <v>150</v>
      </c>
      <c r="AT62" s="76" t="s">
        <v>42</v>
      </c>
      <c r="AU62" s="77">
        <f t="shared" si="3"/>
        <v>0</v>
      </c>
      <c r="AV62" s="36"/>
      <c r="AW62" s="36"/>
      <c r="AX62" s="36"/>
      <c r="AY62" s="36"/>
      <c r="AZ62" s="36"/>
    </row>
    <row r="63" spans="1:52" ht="33.75" customHeight="1" x14ac:dyDescent="0.2">
      <c r="A63" s="144" t="s">
        <v>88</v>
      </c>
      <c r="B63" s="126"/>
      <c r="C63" s="127"/>
      <c r="D63" s="66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66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66"/>
      <c r="AR63" s="32">
        <f t="shared" si="2"/>
        <v>0</v>
      </c>
      <c r="AS63" s="33">
        <v>480</v>
      </c>
      <c r="AT63" s="76" t="s">
        <v>42</v>
      </c>
      <c r="AU63" s="77">
        <f t="shared" si="3"/>
        <v>0</v>
      </c>
      <c r="AV63" s="36"/>
      <c r="AW63" s="36"/>
      <c r="AX63" s="36"/>
      <c r="AY63" s="36"/>
      <c r="AZ63" s="36"/>
    </row>
    <row r="64" spans="1:52" ht="15.75" customHeight="1" x14ac:dyDescent="0.2"/>
    <row r="65" spans="1:52" ht="34.5" customHeight="1" x14ac:dyDescent="0.4">
      <c r="A65" s="151"/>
      <c r="B65" s="146"/>
      <c r="C65" s="146"/>
      <c r="D65" s="78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145" t="s">
        <v>89</v>
      </c>
      <c r="AN65" s="146"/>
      <c r="AO65" s="146"/>
      <c r="AP65" s="146"/>
      <c r="AQ65" s="147"/>
      <c r="AR65" s="80"/>
      <c r="AS65" s="80"/>
      <c r="AT65" s="81">
        <f>SUM(AT16:AT50)</f>
        <v>0</v>
      </c>
      <c r="AU65" s="82"/>
      <c r="AV65" s="10"/>
      <c r="AW65" s="10"/>
      <c r="AX65" s="10"/>
      <c r="AY65" s="10"/>
      <c r="AZ65" s="10"/>
    </row>
    <row r="66" spans="1:52" ht="34.5" customHeight="1" x14ac:dyDescent="0.4">
      <c r="A66" s="83"/>
      <c r="B66" s="78"/>
      <c r="C66" s="78"/>
      <c r="D66" s="78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145" t="s">
        <v>90</v>
      </c>
      <c r="AN66" s="146"/>
      <c r="AO66" s="146"/>
      <c r="AP66" s="146"/>
      <c r="AQ66" s="147"/>
      <c r="AR66" s="80"/>
      <c r="AS66" s="80"/>
      <c r="AT66" s="84"/>
      <c r="AU66" s="85">
        <f>SUM(AU16:AU63)</f>
        <v>0</v>
      </c>
      <c r="AV66" s="10"/>
      <c r="AW66" s="10"/>
      <c r="AX66" s="10"/>
      <c r="AY66" s="10"/>
      <c r="AZ66" s="10"/>
    </row>
    <row r="67" spans="1:52" ht="34.5" customHeight="1" x14ac:dyDescent="0.4">
      <c r="A67" s="86"/>
      <c r="B67" s="78"/>
      <c r="C67" s="78"/>
      <c r="D67" s="78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78"/>
      <c r="AN67" s="78"/>
      <c r="AO67" s="78"/>
      <c r="AP67" s="78"/>
      <c r="AQ67" s="88"/>
      <c r="AR67" s="80"/>
      <c r="AS67" s="89"/>
      <c r="AT67" s="84"/>
      <c r="AU67" s="82"/>
      <c r="AV67" s="10"/>
      <c r="AW67" s="10"/>
      <c r="AX67" s="10"/>
      <c r="AY67" s="10"/>
      <c r="AZ67" s="10"/>
    </row>
    <row r="68" spans="1:52" ht="34.5" customHeight="1" x14ac:dyDescent="0.4">
      <c r="A68" s="90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2" t="s">
        <v>91</v>
      </c>
      <c r="AR68" s="93"/>
      <c r="AS68" s="94"/>
      <c r="AT68" s="93"/>
      <c r="AU68" s="95">
        <f>SUM(AT65+AU66)</f>
        <v>0</v>
      </c>
      <c r="AV68" s="10"/>
      <c r="AW68" s="10"/>
      <c r="AX68" s="10"/>
      <c r="AY68" s="10"/>
      <c r="AZ68" s="10"/>
    </row>
    <row r="69" spans="1:52" ht="13.5" customHeight="1" x14ac:dyDescent="0.2">
      <c r="A69" s="96"/>
      <c r="C69" s="10"/>
      <c r="D69" s="10"/>
      <c r="AA69" s="148"/>
      <c r="AB69" s="109"/>
      <c r="AC69" s="109"/>
      <c r="AD69" s="109"/>
      <c r="AE69" s="109"/>
      <c r="AF69" s="109"/>
      <c r="AG69" s="109"/>
      <c r="AH69" s="109"/>
      <c r="AI69" s="109"/>
      <c r="AJ69" s="97"/>
      <c r="AK69" s="97"/>
      <c r="AL69" s="97"/>
      <c r="AM69" s="97"/>
      <c r="AN69" s="97"/>
      <c r="AO69" s="97"/>
      <c r="AP69" s="97"/>
      <c r="AQ69" s="97"/>
      <c r="AR69" s="10"/>
      <c r="AS69" s="10"/>
      <c r="AT69" s="10"/>
      <c r="AU69" s="10"/>
      <c r="AV69" s="10"/>
      <c r="AW69" s="10"/>
      <c r="AX69" s="10"/>
      <c r="AY69" s="10"/>
      <c r="AZ69" s="10"/>
    </row>
    <row r="70" spans="1:52" ht="12.75" customHeight="1" x14ac:dyDescent="0.2">
      <c r="A70" s="98"/>
      <c r="C70" s="10"/>
      <c r="D70" s="10"/>
      <c r="AR70" s="10"/>
      <c r="AS70" s="10"/>
      <c r="AT70" s="10"/>
      <c r="AU70" s="10"/>
      <c r="AV70" s="10"/>
      <c r="AW70" s="10"/>
      <c r="AX70" s="10"/>
      <c r="AY70" s="10"/>
      <c r="AZ70" s="10"/>
    </row>
    <row r="71" spans="1:52" ht="12.75" customHeight="1" x14ac:dyDescent="0.2">
      <c r="C71" s="10"/>
      <c r="D71" s="10"/>
      <c r="AR71" s="10"/>
      <c r="AS71" s="10"/>
      <c r="AT71" s="10"/>
      <c r="AU71" s="10"/>
      <c r="AV71" s="10"/>
      <c r="AW71" s="10"/>
      <c r="AX71" s="10"/>
      <c r="AY71" s="10"/>
      <c r="AZ71" s="10"/>
    </row>
    <row r="72" spans="1:52" ht="15.75" customHeight="1" x14ac:dyDescent="0.2"/>
    <row r="73" spans="1:52" ht="15.75" customHeight="1" x14ac:dyDescent="0.2"/>
    <row r="74" spans="1:52" ht="15.75" customHeight="1" x14ac:dyDescent="0.2"/>
    <row r="75" spans="1:52" ht="15.75" customHeight="1" x14ac:dyDescent="0.2"/>
    <row r="76" spans="1:52" ht="15.75" customHeight="1" x14ac:dyDescent="0.2"/>
    <row r="77" spans="1:52" ht="15.75" customHeight="1" x14ac:dyDescent="0.2"/>
    <row r="78" spans="1:52" ht="15.75" customHeight="1" x14ac:dyDescent="0.2"/>
    <row r="79" spans="1:52" ht="15.75" customHeight="1" x14ac:dyDescent="0.2"/>
    <row r="80" spans="1:5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83">
    <mergeCell ref="A20:C20"/>
    <mergeCell ref="A21:C21"/>
    <mergeCell ref="A22:C22"/>
    <mergeCell ref="A11:B14"/>
    <mergeCell ref="A16:C16"/>
    <mergeCell ref="A17:C17"/>
    <mergeCell ref="A18:C18"/>
    <mergeCell ref="A19:C19"/>
    <mergeCell ref="Q15:X15"/>
    <mergeCell ref="E6:M6"/>
    <mergeCell ref="E7:M7"/>
    <mergeCell ref="N7:T7"/>
    <mergeCell ref="E8:M8"/>
    <mergeCell ref="N8:P8"/>
    <mergeCell ref="Q8:R8"/>
    <mergeCell ref="AR11:AR14"/>
    <mergeCell ref="AS11:AS14"/>
    <mergeCell ref="AT11:AT14"/>
    <mergeCell ref="AU11:AU14"/>
    <mergeCell ref="V5:AC5"/>
    <mergeCell ref="V6:AC6"/>
    <mergeCell ref="V7:AC7"/>
    <mergeCell ref="AD7:AK7"/>
    <mergeCell ref="V8:AC8"/>
    <mergeCell ref="AD8:AK8"/>
    <mergeCell ref="AD10:AK10"/>
    <mergeCell ref="N6:T6"/>
    <mergeCell ref="AD6:AK6"/>
    <mergeCell ref="E9:M9"/>
    <mergeCell ref="N9:T9"/>
    <mergeCell ref="V9:AC9"/>
    <mergeCell ref="AD9:AK9"/>
    <mergeCell ref="S8:T8"/>
    <mergeCell ref="H1:AU4"/>
    <mergeCell ref="E5:M5"/>
    <mergeCell ref="N5:T5"/>
    <mergeCell ref="AD5:AK5"/>
    <mergeCell ref="AM5:AR5"/>
    <mergeCell ref="AM65:AQ65"/>
    <mergeCell ref="AM66:AQ66"/>
    <mergeCell ref="AA69:AI69"/>
    <mergeCell ref="A58:C58"/>
    <mergeCell ref="A59:C59"/>
    <mergeCell ref="A60:C60"/>
    <mergeCell ref="A61:C61"/>
    <mergeCell ref="A62:C62"/>
    <mergeCell ref="A63:C63"/>
    <mergeCell ref="A65:C65"/>
    <mergeCell ref="A53:C53"/>
    <mergeCell ref="A54:C54"/>
    <mergeCell ref="A55:C55"/>
    <mergeCell ref="A56:C56"/>
    <mergeCell ref="A57:C57"/>
    <mergeCell ref="A48:C48"/>
    <mergeCell ref="A49:C49"/>
    <mergeCell ref="Q51:W51"/>
    <mergeCell ref="A50:C50"/>
    <mergeCell ref="A52:C52"/>
    <mergeCell ref="A43:C43"/>
    <mergeCell ref="A44:C44"/>
    <mergeCell ref="A45:C45"/>
    <mergeCell ref="A46:C46"/>
    <mergeCell ref="A47:C47"/>
    <mergeCell ref="A38:C38"/>
    <mergeCell ref="A39:C39"/>
    <mergeCell ref="A40:C40"/>
    <mergeCell ref="A41:C41"/>
    <mergeCell ref="A42:C42"/>
    <mergeCell ref="A33:C33"/>
    <mergeCell ref="A34:C34"/>
    <mergeCell ref="A35:C35"/>
    <mergeCell ref="A36:C36"/>
    <mergeCell ref="A37:C37"/>
    <mergeCell ref="A28:C28"/>
    <mergeCell ref="A29:C29"/>
    <mergeCell ref="A30:C30"/>
    <mergeCell ref="A31:C31"/>
    <mergeCell ref="A32:C32"/>
    <mergeCell ref="A23:C23"/>
    <mergeCell ref="A24:C24"/>
    <mergeCell ref="A25:C25"/>
    <mergeCell ref="A26:C26"/>
    <mergeCell ref="A27:C27"/>
  </mergeCells>
  <dataValidations count="15">
    <dataValidation type="list" allowBlank="1" sqref="N8" xr:uid="{00000000-0002-0000-0300-000000000000}">
      <formula1>"RP,Vac Breaker,Double Check,Anti-Siphon"</formula1>
    </dataValidation>
    <dataValidation type="list" allowBlank="1" sqref="A52" xr:uid="{00000000-0002-0000-0300-000001000000}">
      <formula1>"Quick coupler replacement 3/4"",Quick coupler replacement 1"""</formula1>
    </dataValidation>
    <dataValidation type="list" allowBlank="1" sqref="AD6" xr:uid="{00000000-0002-0000-0300-000002000000}">
      <formula1>"1,2,3,4,5,6,7,8,9,10,A,B,C,D,E,F,G,H,I,J,K,L,M,N,O,P,Q,R,S,T,U,V"</formula1>
    </dataValidation>
    <dataValidation type="custom" allowBlank="1" showDropDown="1" sqref="N9" xr:uid="{00000000-0002-0000-0300-000003000000}">
      <formula1>OR(NOT(ISERROR(DATEVALUE(N9))), AND(ISNUMBER(N9), LEFT(CELL("format", N9))="D"))</formula1>
    </dataValidation>
    <dataValidation type="list" allowBlank="1" sqref="N6" xr:uid="{00000000-0002-0000-0300-000004000000}">
      <formula1>"Yes,No,Partial"</formula1>
    </dataValidation>
    <dataValidation type="list" allowBlank="1" sqref="N7" xr:uid="{00000000-0002-0000-0300-000005000000}">
      <formula1>"Potable,Recycled,Mixed"</formula1>
    </dataValidation>
    <dataValidation type="list" allowBlank="1" sqref="N5" xr:uid="{00000000-0002-0000-0300-000006000000}">
      <formula1>"Yes,No"</formula1>
    </dataValidation>
    <dataValidation type="list" allowBlank="1" sqref="D16:N16 P16:AQ16 D17:AQ50 D52:AQ63" xr:uid="{00000000-0002-0000-0300-000007000000}">
      <formula1>"1,2,3,4,5,6,7,8,9,10"</formula1>
    </dataValidation>
    <dataValidation type="list" allowBlank="1" sqref="S8" xr:uid="{00000000-0002-0000-0300-000008000000}">
      <formula1>"Single POC,Multiple POC"</formula1>
    </dataValidation>
    <dataValidation type="list" allowBlank="1" sqref="D12:AQ12" xr:uid="{00000000-0002-0000-0300-000009000000}">
      <formula1>"Bubbler,Spray Head,Part Circle Rotor,Full Circle Rotor,Mix Rotor,Multi Stream Rotor,MP Rotator,On grade drip,Subsurface Drip,Point Source Drip"</formula1>
    </dataValidation>
    <dataValidation type="list" allowBlank="1" sqref="AD8" xr:uid="{00000000-0002-0000-0300-00000A000000}">
      <formula1>"WeatherTrak ETPRO3,WeatherTrak ET PRO2,WeatherTrak OptiFlow,WEATHERMATIC SMARTLINE,ET WATER,RAINMASTER SENTAR II,IRRITROL MC,RainBird IQ,RainDial,Tucor,Baseline,Hunter 2 wire,Hunter Node"</formula1>
    </dataValidation>
    <dataValidation type="list" allowBlank="1" sqref="O16" xr:uid="{00000000-0002-0000-0300-00000B000000}">
      <formula1>"1,2,3,4,5,6,7,8,9,10,11,12,13,14,15,16,17,18,19,20,21,22,23,24,25,26,27,28,29,30"</formula1>
    </dataValidation>
    <dataValidation type="list" allowBlank="1" sqref="Q8" xr:uid="{00000000-0002-0000-0300-00000C000000}">
      <formula1>"1/2"",3/4"",1"",1.5"",2"",2.5"",3"",4"",6"""</formula1>
    </dataValidation>
    <dataValidation type="list" allowBlank="1" sqref="D11:AQ11" xr:uid="{00000000-0002-0000-0300-00000D000000}">
      <formula1>"Shrubs,Ground Cover,Turf,Grasses,Native Grasses,Tree"</formula1>
    </dataValidation>
    <dataValidation type="list" allowBlank="1" sqref="D13:AQ13" xr:uid="{00000000-0002-0000-0300-00000E000000}">
      <formula1>"0-10,11-20,21-30,31-40,41-50,51-60,61-70,71-80,81-90,91-100,101-110,111-120,121-130,131-140,141-150,151-160,161-170,171-180,181-190,191-200,201-210,211-220,221-230,231-240,241-250,251-260,261-270,271-280,281-290,291-300"</formula1>
    </dataValidation>
  </dataValidations>
  <printOptions horizontalCentered="1" gridLines="1"/>
  <pageMargins left="0.25" right="0.25" top="0.75" bottom="0.75" header="0" footer="0"/>
  <pageSetup pageOrder="overThenDown" orientation="landscape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Z1004"/>
  <sheetViews>
    <sheetView showGridLines="0" workbookViewId="0">
      <pane xSplit="3" ySplit="14" topLeftCell="D15" activePane="bottomRight" state="frozen"/>
      <selection pane="topRight" activeCell="D1" sqref="D1"/>
      <selection pane="bottomLeft" activeCell="A15" sqref="A15"/>
      <selection pane="bottomRight" activeCell="D11" sqref="D11"/>
    </sheetView>
  </sheetViews>
  <sheetFormatPr defaultColWidth="12.5703125" defaultRowHeight="15" customHeight="1" x14ac:dyDescent="0.2"/>
  <cols>
    <col min="1" max="1" width="18.28515625" customWidth="1"/>
    <col min="2" max="2" width="7.5703125" customWidth="1"/>
    <col min="3" max="3" width="29.85546875" customWidth="1"/>
    <col min="4" max="43" width="10.85546875" customWidth="1"/>
    <col min="44" max="44" width="13.28515625" customWidth="1"/>
    <col min="45" max="45" width="11.140625" customWidth="1"/>
    <col min="46" max="46" width="18.42578125" customWidth="1"/>
    <col min="47" max="47" width="18.85546875" customWidth="1"/>
    <col min="48" max="52" width="8" customWidth="1"/>
  </cols>
  <sheetData>
    <row r="1" spans="1:52" ht="12.75" customHeight="1" x14ac:dyDescent="0.2">
      <c r="A1" s="10"/>
      <c r="B1" s="10" t="s">
        <v>14</v>
      </c>
      <c r="C1" s="10"/>
      <c r="D1" s="10"/>
      <c r="E1" s="10"/>
      <c r="F1" s="10"/>
      <c r="G1" s="10"/>
      <c r="H1" s="152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"/>
      <c r="AW1" s="10"/>
      <c r="AX1" s="10"/>
      <c r="AY1" s="10"/>
      <c r="AZ1" s="10"/>
    </row>
    <row r="2" spans="1:52" ht="12.75" customHeight="1" x14ac:dyDescent="0.2">
      <c r="A2" s="10"/>
      <c r="B2" s="10"/>
      <c r="C2" s="10"/>
      <c r="D2" s="10"/>
      <c r="E2" s="10"/>
      <c r="F2" s="10"/>
      <c r="G2" s="10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09"/>
      <c r="AV2" s="10"/>
      <c r="AW2" s="10"/>
      <c r="AX2" s="10"/>
      <c r="AY2" s="10"/>
      <c r="AZ2" s="10"/>
    </row>
    <row r="3" spans="1:52" ht="12.75" customHeight="1" x14ac:dyDescent="0.2">
      <c r="A3" s="10"/>
      <c r="B3" s="10"/>
      <c r="C3" s="10"/>
      <c r="D3" s="10"/>
      <c r="E3" s="10"/>
      <c r="F3" s="10"/>
      <c r="G3" s="10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"/>
      <c r="AW3" s="10"/>
      <c r="AX3" s="10"/>
      <c r="AY3" s="10"/>
      <c r="AZ3" s="10"/>
    </row>
    <row r="4" spans="1:52" ht="12.75" customHeight="1" x14ac:dyDescent="0.2">
      <c r="A4" s="10"/>
      <c r="B4" s="10"/>
      <c r="C4" s="10"/>
      <c r="D4" s="10"/>
      <c r="E4" s="10"/>
      <c r="F4" s="10"/>
      <c r="G4" s="10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"/>
      <c r="AW4" s="10"/>
      <c r="AX4" s="10"/>
      <c r="AY4" s="10"/>
      <c r="AZ4" s="10"/>
    </row>
    <row r="5" spans="1:52" ht="28.5" customHeight="1" x14ac:dyDescent="0.2">
      <c r="A5" s="10"/>
      <c r="B5" s="10"/>
      <c r="C5" s="10"/>
      <c r="D5" s="10"/>
      <c r="E5" s="153" t="s">
        <v>15</v>
      </c>
      <c r="F5" s="126"/>
      <c r="G5" s="126"/>
      <c r="H5" s="126"/>
      <c r="I5" s="126"/>
      <c r="J5" s="126"/>
      <c r="K5" s="126"/>
      <c r="L5" s="126"/>
      <c r="M5" s="126"/>
      <c r="N5" s="154"/>
      <c r="O5" s="126"/>
      <c r="P5" s="126"/>
      <c r="Q5" s="126"/>
      <c r="R5" s="126"/>
      <c r="S5" s="126"/>
      <c r="T5" s="106"/>
      <c r="U5" s="10"/>
      <c r="V5" s="155" t="s">
        <v>16</v>
      </c>
      <c r="W5" s="126"/>
      <c r="X5" s="126"/>
      <c r="Y5" s="126"/>
      <c r="Z5" s="126"/>
      <c r="AA5" s="126"/>
      <c r="AB5" s="126"/>
      <c r="AC5" s="126"/>
      <c r="AD5" s="155"/>
      <c r="AE5" s="126"/>
      <c r="AF5" s="126"/>
      <c r="AG5" s="126"/>
      <c r="AH5" s="126"/>
      <c r="AI5" s="126"/>
      <c r="AJ5" s="126"/>
      <c r="AK5" s="106"/>
      <c r="AL5" s="10"/>
      <c r="AM5" s="156"/>
      <c r="AN5" s="109"/>
      <c r="AO5" s="109"/>
      <c r="AP5" s="109"/>
      <c r="AQ5" s="109"/>
      <c r="AR5" s="109"/>
      <c r="AS5" s="10"/>
      <c r="AT5" s="10"/>
      <c r="AU5" s="10"/>
      <c r="AV5" s="10"/>
      <c r="AW5" s="10"/>
      <c r="AX5" s="10"/>
      <c r="AY5" s="10"/>
      <c r="AZ5" s="10"/>
    </row>
    <row r="6" spans="1:52" ht="28.5" customHeight="1" x14ac:dyDescent="0.2">
      <c r="A6" s="10"/>
      <c r="B6" s="10"/>
      <c r="C6" s="10"/>
      <c r="D6" s="10"/>
      <c r="E6" s="153" t="s">
        <v>17</v>
      </c>
      <c r="F6" s="126"/>
      <c r="G6" s="126"/>
      <c r="H6" s="126"/>
      <c r="I6" s="126"/>
      <c r="J6" s="126"/>
      <c r="K6" s="126"/>
      <c r="L6" s="126"/>
      <c r="M6" s="126"/>
      <c r="N6" s="157"/>
      <c r="O6" s="126"/>
      <c r="P6" s="126"/>
      <c r="Q6" s="126"/>
      <c r="R6" s="126"/>
      <c r="S6" s="126"/>
      <c r="T6" s="106"/>
      <c r="U6" s="10"/>
      <c r="V6" s="155" t="s">
        <v>18</v>
      </c>
      <c r="W6" s="126"/>
      <c r="X6" s="126"/>
      <c r="Y6" s="126"/>
      <c r="Z6" s="126"/>
      <c r="AA6" s="126"/>
      <c r="AB6" s="126"/>
      <c r="AC6" s="126"/>
      <c r="AD6" s="155"/>
      <c r="AE6" s="126"/>
      <c r="AF6" s="126"/>
      <c r="AG6" s="126"/>
      <c r="AH6" s="126"/>
      <c r="AI6" s="126"/>
      <c r="AJ6" s="126"/>
      <c r="AK6" s="106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</row>
    <row r="7" spans="1:52" ht="28.5" customHeight="1" x14ac:dyDescent="0.5">
      <c r="A7" s="10"/>
      <c r="B7" s="10"/>
      <c r="C7" s="10"/>
      <c r="D7" s="10"/>
      <c r="E7" s="153" t="s">
        <v>20</v>
      </c>
      <c r="F7" s="126"/>
      <c r="G7" s="126"/>
      <c r="H7" s="126"/>
      <c r="I7" s="126"/>
      <c r="J7" s="126"/>
      <c r="K7" s="126"/>
      <c r="L7" s="126"/>
      <c r="M7" s="106"/>
      <c r="N7" s="157"/>
      <c r="O7" s="126"/>
      <c r="P7" s="126"/>
      <c r="Q7" s="126"/>
      <c r="R7" s="126"/>
      <c r="S7" s="126"/>
      <c r="T7" s="106"/>
      <c r="U7" s="11"/>
      <c r="V7" s="155" t="s">
        <v>21</v>
      </c>
      <c r="W7" s="126"/>
      <c r="X7" s="126"/>
      <c r="Y7" s="126"/>
      <c r="Z7" s="126"/>
      <c r="AA7" s="126"/>
      <c r="AB7" s="126"/>
      <c r="AC7" s="126"/>
      <c r="AD7" s="166"/>
      <c r="AE7" s="126"/>
      <c r="AF7" s="126"/>
      <c r="AG7" s="126"/>
      <c r="AH7" s="126"/>
      <c r="AI7" s="126"/>
      <c r="AJ7" s="126"/>
      <c r="AK7" s="106"/>
      <c r="AL7" s="12"/>
      <c r="AM7" s="12"/>
      <c r="AN7" s="12"/>
      <c r="AO7" s="12"/>
      <c r="AP7" s="12"/>
      <c r="AQ7" s="12"/>
      <c r="AR7" s="12"/>
      <c r="AS7" s="12"/>
      <c r="AT7" s="10"/>
      <c r="AU7" s="10"/>
      <c r="AV7" s="10"/>
      <c r="AW7" s="10"/>
      <c r="AX7" s="10"/>
      <c r="AY7" s="10"/>
      <c r="AZ7" s="10"/>
    </row>
    <row r="8" spans="1:52" ht="30.75" customHeight="1" x14ac:dyDescent="0.45">
      <c r="A8" s="10"/>
      <c r="B8" s="10"/>
      <c r="C8" s="10"/>
      <c r="D8" s="10"/>
      <c r="E8" s="153" t="s">
        <v>22</v>
      </c>
      <c r="F8" s="126"/>
      <c r="G8" s="126"/>
      <c r="H8" s="126"/>
      <c r="I8" s="126"/>
      <c r="J8" s="126"/>
      <c r="K8" s="126"/>
      <c r="L8" s="126"/>
      <c r="M8" s="106"/>
      <c r="N8" s="169"/>
      <c r="O8" s="126"/>
      <c r="P8" s="106"/>
      <c r="Q8" s="167"/>
      <c r="R8" s="106"/>
      <c r="S8" s="167"/>
      <c r="T8" s="106"/>
      <c r="U8" s="11"/>
      <c r="V8" s="155" t="s">
        <v>23</v>
      </c>
      <c r="W8" s="126"/>
      <c r="X8" s="126"/>
      <c r="Y8" s="126"/>
      <c r="Z8" s="126"/>
      <c r="AA8" s="126"/>
      <c r="AB8" s="126"/>
      <c r="AC8" s="126"/>
      <c r="AD8" s="155"/>
      <c r="AE8" s="126"/>
      <c r="AF8" s="126"/>
      <c r="AG8" s="126"/>
      <c r="AH8" s="126"/>
      <c r="AI8" s="126"/>
      <c r="AJ8" s="126"/>
      <c r="AK8" s="106"/>
      <c r="AL8" s="13"/>
      <c r="AM8" s="13"/>
      <c r="AN8" s="13"/>
      <c r="AO8" s="13"/>
      <c r="AP8" s="13"/>
      <c r="AQ8" s="13"/>
      <c r="AR8" s="13"/>
      <c r="AS8" s="13"/>
      <c r="AT8" s="10"/>
      <c r="AU8" s="10"/>
      <c r="AV8" s="10"/>
      <c r="AW8" s="10"/>
      <c r="AX8" s="10"/>
      <c r="AY8" s="10"/>
      <c r="AZ8" s="10"/>
    </row>
    <row r="9" spans="1:52" ht="28.5" customHeight="1" x14ac:dyDescent="0.45">
      <c r="A9" s="10"/>
      <c r="B9" s="10"/>
      <c r="C9" s="10"/>
      <c r="D9" s="10"/>
      <c r="E9" s="153" t="s">
        <v>24</v>
      </c>
      <c r="F9" s="126"/>
      <c r="G9" s="126"/>
      <c r="H9" s="126"/>
      <c r="I9" s="126"/>
      <c r="J9" s="126"/>
      <c r="K9" s="126"/>
      <c r="L9" s="126"/>
      <c r="M9" s="106"/>
      <c r="N9" s="158"/>
      <c r="O9" s="126"/>
      <c r="P9" s="126"/>
      <c r="Q9" s="126"/>
      <c r="R9" s="126"/>
      <c r="S9" s="126"/>
      <c r="T9" s="106"/>
      <c r="U9" s="14" t="s">
        <v>25</v>
      </c>
      <c r="V9" s="155" t="s">
        <v>26</v>
      </c>
      <c r="W9" s="126"/>
      <c r="X9" s="126"/>
      <c r="Y9" s="126"/>
      <c r="Z9" s="126"/>
      <c r="AA9" s="126"/>
      <c r="AB9" s="126"/>
      <c r="AC9" s="106"/>
      <c r="AD9" s="159"/>
      <c r="AE9" s="160"/>
      <c r="AF9" s="160"/>
      <c r="AG9" s="160"/>
      <c r="AH9" s="160"/>
      <c r="AI9" s="160"/>
      <c r="AJ9" s="160"/>
      <c r="AK9" s="118"/>
      <c r="AL9" s="13"/>
      <c r="AM9" s="13"/>
      <c r="AN9" s="13"/>
      <c r="AO9" s="13"/>
      <c r="AP9" s="13"/>
      <c r="AQ9" s="13"/>
      <c r="AR9" s="13"/>
      <c r="AS9" s="13"/>
      <c r="AT9" s="10"/>
      <c r="AU9" s="10"/>
      <c r="AV9" s="10"/>
      <c r="AW9" s="10"/>
      <c r="AX9" s="10"/>
      <c r="AY9" s="10"/>
      <c r="AZ9" s="10"/>
    </row>
    <row r="10" spans="1:52" ht="32.25" customHeight="1" x14ac:dyDescent="0.5">
      <c r="A10" s="10"/>
      <c r="B10" s="10"/>
      <c r="C10" s="10"/>
      <c r="D10" s="10"/>
      <c r="U10" s="11"/>
      <c r="AD10" s="155"/>
      <c r="AE10" s="126"/>
      <c r="AF10" s="126"/>
      <c r="AG10" s="126"/>
      <c r="AH10" s="126"/>
      <c r="AI10" s="126"/>
      <c r="AJ10" s="126"/>
      <c r="AK10" s="106"/>
      <c r="AL10" s="12"/>
      <c r="AM10" s="12"/>
      <c r="AN10" s="12"/>
      <c r="AO10" s="12"/>
      <c r="AP10" s="12"/>
      <c r="AQ10" s="12"/>
      <c r="AR10" s="12"/>
      <c r="AS10" s="12"/>
      <c r="AT10" s="10"/>
      <c r="AU10" s="10"/>
      <c r="AV10" s="10"/>
      <c r="AW10" s="10"/>
      <c r="AX10" s="10"/>
      <c r="AY10" s="10"/>
      <c r="AZ10" s="10"/>
    </row>
    <row r="11" spans="1:52" ht="34.5" customHeight="1" x14ac:dyDescent="0.2">
      <c r="A11" s="170" t="s">
        <v>27</v>
      </c>
      <c r="B11" s="116"/>
      <c r="C11" s="15" t="s">
        <v>28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61" t="s">
        <v>31</v>
      </c>
      <c r="AS11" s="161" t="s">
        <v>32</v>
      </c>
      <c r="AT11" s="164" t="s">
        <v>33</v>
      </c>
      <c r="AU11" s="165" t="s">
        <v>34</v>
      </c>
      <c r="AV11" s="10"/>
      <c r="AW11" s="10"/>
      <c r="AX11" s="10"/>
      <c r="AY11" s="10"/>
      <c r="AZ11" s="10"/>
    </row>
    <row r="12" spans="1:52" ht="34.5" customHeight="1" x14ac:dyDescent="0.2">
      <c r="A12" s="114"/>
      <c r="B12" s="171"/>
      <c r="C12" s="18" t="s">
        <v>35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162"/>
      <c r="AS12" s="162"/>
      <c r="AT12" s="162"/>
      <c r="AU12" s="162"/>
      <c r="AV12" s="10"/>
      <c r="AW12" s="10"/>
      <c r="AX12" s="10"/>
      <c r="AY12" s="10"/>
      <c r="AZ12" s="10"/>
    </row>
    <row r="13" spans="1:52" ht="34.5" customHeight="1" x14ac:dyDescent="0.2">
      <c r="A13" s="114"/>
      <c r="B13" s="171"/>
      <c r="C13" s="21" t="s">
        <v>38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162"/>
      <c r="AS13" s="162"/>
      <c r="AT13" s="162"/>
      <c r="AU13" s="162"/>
      <c r="AV13" s="10"/>
      <c r="AW13" s="10"/>
      <c r="AX13" s="10"/>
      <c r="AY13" s="10"/>
      <c r="AZ13" s="10"/>
    </row>
    <row r="14" spans="1:52" ht="34.5" customHeight="1" x14ac:dyDescent="0.35">
      <c r="A14" s="117"/>
      <c r="B14" s="118"/>
      <c r="C14" s="18" t="s">
        <v>39</v>
      </c>
      <c r="D14" s="23">
        <v>1</v>
      </c>
      <c r="E14" s="23">
        <v>2</v>
      </c>
      <c r="F14" s="23">
        <v>3</v>
      </c>
      <c r="G14" s="23">
        <v>4</v>
      </c>
      <c r="H14" s="23">
        <v>5</v>
      </c>
      <c r="I14" s="23">
        <v>6</v>
      </c>
      <c r="J14" s="23">
        <v>7</v>
      </c>
      <c r="K14" s="23">
        <v>8</v>
      </c>
      <c r="L14" s="23">
        <v>9</v>
      </c>
      <c r="M14" s="23">
        <v>10</v>
      </c>
      <c r="N14" s="23">
        <v>11</v>
      </c>
      <c r="O14" s="23">
        <v>12</v>
      </c>
      <c r="P14" s="23">
        <v>13</v>
      </c>
      <c r="Q14" s="23">
        <v>14</v>
      </c>
      <c r="R14" s="23">
        <v>15</v>
      </c>
      <c r="S14" s="23">
        <v>16</v>
      </c>
      <c r="T14" s="23">
        <v>17</v>
      </c>
      <c r="U14" s="23">
        <v>18</v>
      </c>
      <c r="V14" s="23">
        <v>19</v>
      </c>
      <c r="W14" s="23">
        <v>20</v>
      </c>
      <c r="X14" s="23">
        <v>21</v>
      </c>
      <c r="Y14" s="23">
        <v>22</v>
      </c>
      <c r="Z14" s="23">
        <v>23</v>
      </c>
      <c r="AA14" s="23">
        <v>24</v>
      </c>
      <c r="AB14" s="23">
        <v>25</v>
      </c>
      <c r="AC14" s="23">
        <v>26</v>
      </c>
      <c r="AD14" s="23">
        <v>27</v>
      </c>
      <c r="AE14" s="23">
        <v>28</v>
      </c>
      <c r="AF14" s="23">
        <v>29</v>
      </c>
      <c r="AG14" s="23">
        <v>30</v>
      </c>
      <c r="AH14" s="23">
        <v>31</v>
      </c>
      <c r="AI14" s="23">
        <v>32</v>
      </c>
      <c r="AJ14" s="23">
        <v>33</v>
      </c>
      <c r="AK14" s="23">
        <v>34</v>
      </c>
      <c r="AL14" s="23">
        <v>35</v>
      </c>
      <c r="AM14" s="23">
        <v>36</v>
      </c>
      <c r="AN14" s="23">
        <v>37</v>
      </c>
      <c r="AO14" s="23">
        <v>38</v>
      </c>
      <c r="AP14" s="23">
        <v>39</v>
      </c>
      <c r="AQ14" s="23">
        <v>40</v>
      </c>
      <c r="AR14" s="163"/>
      <c r="AS14" s="163"/>
      <c r="AT14" s="163"/>
      <c r="AU14" s="163"/>
      <c r="AV14" s="10"/>
      <c r="AW14" s="10"/>
      <c r="AX14" s="10"/>
      <c r="AY14" s="10"/>
      <c r="AZ14" s="10"/>
    </row>
    <row r="15" spans="1:52" ht="30" customHeight="1" x14ac:dyDescent="0.2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168" t="s">
        <v>40</v>
      </c>
      <c r="R15" s="126"/>
      <c r="S15" s="126"/>
      <c r="T15" s="126"/>
      <c r="U15" s="126"/>
      <c r="V15" s="126"/>
      <c r="W15" s="126"/>
      <c r="X15" s="126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6"/>
      <c r="AR15" s="27"/>
      <c r="AS15" s="27"/>
      <c r="AT15" s="28"/>
      <c r="AU15" s="29"/>
      <c r="AV15" s="10"/>
      <c r="AW15" s="10"/>
      <c r="AX15" s="10"/>
      <c r="AY15" s="10"/>
      <c r="AZ15" s="10"/>
    </row>
    <row r="16" spans="1:52" ht="33.75" customHeight="1" x14ac:dyDescent="0.2">
      <c r="A16" s="128" t="s">
        <v>41</v>
      </c>
      <c r="B16" s="126"/>
      <c r="C16" s="127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2">
        <f t="shared" ref="AR16:AR50" si="0">SUM(D16:AQ16)</f>
        <v>0</v>
      </c>
      <c r="AS16" s="33">
        <v>25</v>
      </c>
      <c r="AT16" s="34">
        <f t="shared" ref="AT16:AT50" si="1">AR16*AS16</f>
        <v>0</v>
      </c>
      <c r="AU16" s="35" t="s">
        <v>42</v>
      </c>
      <c r="AV16" s="36"/>
      <c r="AW16" s="36"/>
      <c r="AX16" s="36"/>
      <c r="AY16" s="36"/>
      <c r="AZ16" s="36"/>
    </row>
    <row r="17" spans="1:52" ht="33.75" customHeight="1" x14ac:dyDescent="0.2">
      <c r="A17" s="125" t="s">
        <v>43</v>
      </c>
      <c r="B17" s="126"/>
      <c r="C17" s="127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2">
        <f t="shared" si="0"/>
        <v>0</v>
      </c>
      <c r="AS17" s="33">
        <v>25</v>
      </c>
      <c r="AT17" s="34">
        <f t="shared" si="1"/>
        <v>0</v>
      </c>
      <c r="AU17" s="35" t="s">
        <v>42</v>
      </c>
      <c r="AV17" s="36"/>
      <c r="AW17" s="36"/>
      <c r="AX17" s="36"/>
      <c r="AY17" s="36"/>
      <c r="AZ17" s="36"/>
    </row>
    <row r="18" spans="1:52" ht="33.75" customHeight="1" x14ac:dyDescent="0.2">
      <c r="A18" s="172" t="s">
        <v>44</v>
      </c>
      <c r="B18" s="126"/>
      <c r="C18" s="126"/>
      <c r="D18" s="66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2">
        <f t="shared" si="0"/>
        <v>0</v>
      </c>
      <c r="AS18" s="33">
        <v>20</v>
      </c>
      <c r="AT18" s="34">
        <f t="shared" si="1"/>
        <v>0</v>
      </c>
      <c r="AU18" s="35" t="s">
        <v>42</v>
      </c>
      <c r="AV18" s="36"/>
      <c r="AW18" s="36"/>
      <c r="AX18" s="36"/>
      <c r="AY18" s="36"/>
      <c r="AZ18" s="36"/>
    </row>
    <row r="19" spans="1:52" ht="33.75" customHeight="1" x14ac:dyDescent="0.2">
      <c r="A19" s="125" t="s">
        <v>45</v>
      </c>
      <c r="B19" s="126"/>
      <c r="C19" s="127"/>
      <c r="D19" s="62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2">
        <f t="shared" si="0"/>
        <v>0</v>
      </c>
      <c r="AS19" s="33">
        <v>60</v>
      </c>
      <c r="AT19" s="34">
        <f t="shared" si="1"/>
        <v>0</v>
      </c>
      <c r="AU19" s="35" t="s">
        <v>42</v>
      </c>
      <c r="AV19" s="36"/>
      <c r="AW19" s="36"/>
      <c r="AX19" s="36"/>
      <c r="AY19" s="36"/>
      <c r="AZ19" s="36"/>
    </row>
    <row r="20" spans="1:52" ht="33.75" customHeight="1" x14ac:dyDescent="0.2">
      <c r="A20" s="128" t="s">
        <v>46</v>
      </c>
      <c r="B20" s="126"/>
      <c r="C20" s="127"/>
      <c r="D20" s="66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2">
        <f t="shared" si="0"/>
        <v>0</v>
      </c>
      <c r="AS20" s="33">
        <v>31</v>
      </c>
      <c r="AT20" s="34">
        <f t="shared" si="1"/>
        <v>0</v>
      </c>
      <c r="AU20" s="35" t="s">
        <v>42</v>
      </c>
      <c r="AV20" s="36"/>
      <c r="AW20" s="36"/>
      <c r="AX20" s="36"/>
      <c r="AY20" s="36"/>
      <c r="AZ20" s="36"/>
    </row>
    <row r="21" spans="1:52" ht="33.75" customHeight="1" x14ac:dyDescent="0.2">
      <c r="A21" s="125" t="s">
        <v>47</v>
      </c>
      <c r="B21" s="126"/>
      <c r="C21" s="127"/>
      <c r="D21" s="62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2">
        <f t="shared" si="0"/>
        <v>0</v>
      </c>
      <c r="AS21" s="33">
        <v>330</v>
      </c>
      <c r="AT21" s="34">
        <f t="shared" si="1"/>
        <v>0</v>
      </c>
      <c r="AU21" s="35" t="s">
        <v>42</v>
      </c>
      <c r="AV21" s="36"/>
      <c r="AW21" s="36"/>
      <c r="AX21" s="36"/>
      <c r="AY21" s="36"/>
      <c r="AZ21" s="36"/>
    </row>
    <row r="22" spans="1:52" ht="33.75" customHeight="1" x14ac:dyDescent="0.2">
      <c r="A22" s="128" t="s">
        <v>48</v>
      </c>
      <c r="B22" s="126"/>
      <c r="C22" s="127"/>
      <c r="D22" s="66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2">
        <f t="shared" si="0"/>
        <v>0</v>
      </c>
      <c r="AS22" s="33">
        <v>250</v>
      </c>
      <c r="AT22" s="34">
        <f t="shared" si="1"/>
        <v>0</v>
      </c>
      <c r="AU22" s="35" t="s">
        <v>42</v>
      </c>
      <c r="AV22" s="36"/>
      <c r="AW22" s="36"/>
      <c r="AX22" s="36"/>
      <c r="AY22" s="36"/>
      <c r="AZ22" s="36"/>
    </row>
    <row r="23" spans="1:52" ht="33.75" customHeight="1" x14ac:dyDescent="0.2">
      <c r="A23" s="125" t="s">
        <v>49</v>
      </c>
      <c r="B23" s="126"/>
      <c r="C23" s="127"/>
      <c r="D23" s="62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2">
        <f t="shared" si="0"/>
        <v>0</v>
      </c>
      <c r="AS23" s="33">
        <v>50</v>
      </c>
      <c r="AT23" s="34">
        <f t="shared" si="1"/>
        <v>0</v>
      </c>
      <c r="AU23" s="35" t="s">
        <v>42</v>
      </c>
      <c r="AV23" s="36"/>
      <c r="AW23" s="36"/>
      <c r="AX23" s="36"/>
      <c r="AY23" s="36"/>
      <c r="AZ23" s="36"/>
    </row>
    <row r="24" spans="1:52" ht="33.75" customHeight="1" x14ac:dyDescent="0.2">
      <c r="A24" s="128" t="s">
        <v>50</v>
      </c>
      <c r="B24" s="126"/>
      <c r="C24" s="127"/>
      <c r="D24" s="66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2">
        <f t="shared" si="0"/>
        <v>0</v>
      </c>
      <c r="AS24" s="33">
        <v>68</v>
      </c>
      <c r="AT24" s="34">
        <f t="shared" si="1"/>
        <v>0</v>
      </c>
      <c r="AU24" s="35" t="s">
        <v>42</v>
      </c>
      <c r="AV24" s="36"/>
      <c r="AW24" s="36"/>
      <c r="AX24" s="36"/>
      <c r="AY24" s="36"/>
      <c r="AZ24" s="36"/>
    </row>
    <row r="25" spans="1:52" ht="33.75" customHeight="1" x14ac:dyDescent="0.2">
      <c r="A25" s="125" t="s">
        <v>51</v>
      </c>
      <c r="B25" s="126"/>
      <c r="C25" s="127"/>
      <c r="D25" s="62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2">
        <f t="shared" si="0"/>
        <v>0</v>
      </c>
      <c r="AS25" s="33">
        <v>90</v>
      </c>
      <c r="AT25" s="34">
        <f t="shared" si="1"/>
        <v>0</v>
      </c>
      <c r="AU25" s="35" t="s">
        <v>42</v>
      </c>
      <c r="AV25" s="36"/>
      <c r="AW25" s="36"/>
      <c r="AX25" s="36"/>
      <c r="AY25" s="36"/>
      <c r="AZ25" s="36"/>
    </row>
    <row r="26" spans="1:52" ht="33.75" customHeight="1" x14ac:dyDescent="0.2">
      <c r="A26" s="128" t="s">
        <v>52</v>
      </c>
      <c r="B26" s="126"/>
      <c r="C26" s="127"/>
      <c r="D26" s="66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2">
        <f t="shared" si="0"/>
        <v>0</v>
      </c>
      <c r="AS26" s="33">
        <v>82</v>
      </c>
      <c r="AT26" s="34">
        <f t="shared" si="1"/>
        <v>0</v>
      </c>
      <c r="AU26" s="35" t="s">
        <v>42</v>
      </c>
      <c r="AV26" s="36"/>
      <c r="AW26" s="36"/>
      <c r="AX26" s="36"/>
      <c r="AY26" s="36"/>
      <c r="AZ26" s="36"/>
    </row>
    <row r="27" spans="1:52" ht="33.75" customHeight="1" x14ac:dyDescent="0.2">
      <c r="A27" s="125" t="s">
        <v>53</v>
      </c>
      <c r="B27" s="126"/>
      <c r="C27" s="127"/>
      <c r="D27" s="62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2">
        <f t="shared" si="0"/>
        <v>0</v>
      </c>
      <c r="AS27" s="33">
        <v>95</v>
      </c>
      <c r="AT27" s="34">
        <f t="shared" si="1"/>
        <v>0</v>
      </c>
      <c r="AU27" s="35" t="s">
        <v>42</v>
      </c>
      <c r="AV27" s="36"/>
      <c r="AW27" s="36"/>
      <c r="AX27" s="36"/>
      <c r="AY27" s="36"/>
      <c r="AZ27" s="36"/>
    </row>
    <row r="28" spans="1:52" ht="33.75" customHeight="1" x14ac:dyDescent="0.2">
      <c r="A28" s="128" t="s">
        <v>54</v>
      </c>
      <c r="B28" s="126"/>
      <c r="C28" s="127"/>
      <c r="D28" s="66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2">
        <f t="shared" si="0"/>
        <v>0</v>
      </c>
      <c r="AS28" s="33">
        <v>10</v>
      </c>
      <c r="AT28" s="34">
        <f t="shared" si="1"/>
        <v>0</v>
      </c>
      <c r="AU28" s="35" t="s">
        <v>42</v>
      </c>
      <c r="AV28" s="36"/>
      <c r="AW28" s="36"/>
      <c r="AX28" s="36"/>
      <c r="AY28" s="36"/>
      <c r="AZ28" s="36"/>
    </row>
    <row r="29" spans="1:52" ht="33.75" customHeight="1" x14ac:dyDescent="0.2">
      <c r="A29" s="125" t="s">
        <v>55</v>
      </c>
      <c r="B29" s="126"/>
      <c r="C29" s="127"/>
      <c r="D29" s="62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2">
        <f t="shared" si="0"/>
        <v>0</v>
      </c>
      <c r="AS29" s="33">
        <v>25</v>
      </c>
      <c r="AT29" s="34">
        <f t="shared" si="1"/>
        <v>0</v>
      </c>
      <c r="AU29" s="35" t="s">
        <v>42</v>
      </c>
      <c r="AV29" s="36"/>
      <c r="AW29" s="36"/>
      <c r="AX29" s="36"/>
      <c r="AY29" s="36"/>
      <c r="AZ29" s="36"/>
    </row>
    <row r="30" spans="1:52" ht="33.75" customHeight="1" x14ac:dyDescent="0.2">
      <c r="A30" s="128" t="s">
        <v>56</v>
      </c>
      <c r="B30" s="126"/>
      <c r="C30" s="127"/>
      <c r="D30" s="66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2">
        <f t="shared" si="0"/>
        <v>0</v>
      </c>
      <c r="AS30" s="33">
        <v>1481</v>
      </c>
      <c r="AT30" s="34">
        <f t="shared" si="1"/>
        <v>0</v>
      </c>
      <c r="AU30" s="35" t="s">
        <v>42</v>
      </c>
      <c r="AV30" s="36"/>
      <c r="AW30" s="36"/>
      <c r="AX30" s="36"/>
      <c r="AY30" s="36"/>
      <c r="AZ30" s="36"/>
    </row>
    <row r="31" spans="1:52" ht="33.75" customHeight="1" x14ac:dyDescent="0.2">
      <c r="A31" s="125" t="s">
        <v>57</v>
      </c>
      <c r="B31" s="126"/>
      <c r="C31" s="127"/>
      <c r="D31" s="62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2">
        <f t="shared" si="0"/>
        <v>0</v>
      </c>
      <c r="AS31" s="33">
        <v>2180</v>
      </c>
      <c r="AT31" s="34">
        <f t="shared" si="1"/>
        <v>0</v>
      </c>
      <c r="AU31" s="35" t="s">
        <v>42</v>
      </c>
      <c r="AV31" s="36"/>
      <c r="AW31" s="36"/>
      <c r="AX31" s="36"/>
      <c r="AY31" s="36"/>
      <c r="AZ31" s="36"/>
    </row>
    <row r="32" spans="1:52" ht="33.75" customHeight="1" x14ac:dyDescent="0.2">
      <c r="A32" s="128" t="s">
        <v>58</v>
      </c>
      <c r="B32" s="126"/>
      <c r="C32" s="127"/>
      <c r="D32" s="66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41">
        <f t="shared" si="0"/>
        <v>0</v>
      </c>
      <c r="AS32" s="42">
        <v>250</v>
      </c>
      <c r="AT32" s="34">
        <f t="shared" si="1"/>
        <v>0</v>
      </c>
      <c r="AU32" s="35" t="s">
        <v>42</v>
      </c>
      <c r="AV32" s="43"/>
      <c r="AW32" s="43"/>
      <c r="AX32" s="43"/>
      <c r="AY32" s="43"/>
      <c r="AZ32" s="43"/>
    </row>
    <row r="33" spans="1:52" ht="33.75" customHeight="1" x14ac:dyDescent="0.2">
      <c r="A33" s="125" t="s">
        <v>59</v>
      </c>
      <c r="B33" s="126"/>
      <c r="C33" s="127"/>
      <c r="D33" s="62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2">
        <f t="shared" si="0"/>
        <v>0</v>
      </c>
      <c r="AS33" s="33">
        <v>355</v>
      </c>
      <c r="AT33" s="34">
        <f t="shared" si="1"/>
        <v>0</v>
      </c>
      <c r="AU33" s="35" t="s">
        <v>42</v>
      </c>
      <c r="AV33" s="36"/>
      <c r="AW33" s="36"/>
      <c r="AX33" s="36"/>
      <c r="AY33" s="36"/>
      <c r="AZ33" s="36"/>
    </row>
    <row r="34" spans="1:52" ht="33.75" customHeight="1" x14ac:dyDescent="0.2">
      <c r="A34" s="128" t="s">
        <v>60</v>
      </c>
      <c r="B34" s="126"/>
      <c r="C34" s="127"/>
      <c r="D34" s="66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2">
        <f t="shared" si="0"/>
        <v>0</v>
      </c>
      <c r="AS34" s="33">
        <v>150</v>
      </c>
      <c r="AT34" s="34">
        <f t="shared" si="1"/>
        <v>0</v>
      </c>
      <c r="AU34" s="35" t="s">
        <v>42</v>
      </c>
      <c r="AV34" s="36"/>
      <c r="AW34" s="36"/>
      <c r="AX34" s="36"/>
      <c r="AY34" s="36"/>
      <c r="AZ34" s="36"/>
    </row>
    <row r="35" spans="1:52" ht="33.75" customHeight="1" x14ac:dyDescent="0.2">
      <c r="A35" s="125" t="s">
        <v>61</v>
      </c>
      <c r="B35" s="126"/>
      <c r="C35" s="127"/>
      <c r="D35" s="62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2">
        <f t="shared" si="0"/>
        <v>0</v>
      </c>
      <c r="AS35" s="33">
        <v>350</v>
      </c>
      <c r="AT35" s="34">
        <f t="shared" si="1"/>
        <v>0</v>
      </c>
      <c r="AU35" s="35" t="s">
        <v>42</v>
      </c>
      <c r="AV35" s="36"/>
      <c r="AW35" s="36"/>
      <c r="AX35" s="36"/>
      <c r="AY35" s="36"/>
      <c r="AZ35" s="36"/>
    </row>
    <row r="36" spans="1:52" ht="33.75" customHeight="1" x14ac:dyDescent="0.2">
      <c r="A36" s="129" t="s">
        <v>62</v>
      </c>
      <c r="B36" s="126"/>
      <c r="C36" s="127"/>
      <c r="D36" s="99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32">
        <f t="shared" si="0"/>
        <v>0</v>
      </c>
      <c r="AS36" s="33">
        <v>395</v>
      </c>
      <c r="AT36" s="34">
        <f t="shared" si="1"/>
        <v>0</v>
      </c>
      <c r="AU36" s="35" t="s">
        <v>42</v>
      </c>
      <c r="AV36" s="36"/>
      <c r="AW36" s="36"/>
      <c r="AX36" s="36"/>
      <c r="AY36" s="36"/>
      <c r="AZ36" s="36"/>
    </row>
    <row r="37" spans="1:52" ht="33.75" customHeight="1" x14ac:dyDescent="0.2">
      <c r="A37" s="130" t="s">
        <v>63</v>
      </c>
      <c r="B37" s="126"/>
      <c r="C37" s="127"/>
      <c r="D37" s="100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32">
        <f t="shared" si="0"/>
        <v>0</v>
      </c>
      <c r="AS37" s="33">
        <v>440</v>
      </c>
      <c r="AT37" s="34">
        <f t="shared" si="1"/>
        <v>0</v>
      </c>
      <c r="AU37" s="35" t="s">
        <v>42</v>
      </c>
      <c r="AV37" s="36"/>
      <c r="AW37" s="36"/>
      <c r="AX37" s="36"/>
      <c r="AY37" s="36"/>
      <c r="AZ37" s="36"/>
    </row>
    <row r="38" spans="1:52" ht="33.75" customHeight="1" x14ac:dyDescent="0.2">
      <c r="A38" s="131" t="s">
        <v>64</v>
      </c>
      <c r="B38" s="126"/>
      <c r="C38" s="127"/>
      <c r="D38" s="51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51"/>
      <c r="AR38" s="32">
        <f t="shared" si="0"/>
        <v>0</v>
      </c>
      <c r="AS38" s="33">
        <v>550</v>
      </c>
      <c r="AT38" s="34">
        <f t="shared" si="1"/>
        <v>0</v>
      </c>
      <c r="AU38" s="35" t="s">
        <v>42</v>
      </c>
      <c r="AV38" s="36"/>
      <c r="AW38" s="36"/>
      <c r="AX38" s="36"/>
      <c r="AY38" s="36"/>
      <c r="AZ38" s="36"/>
    </row>
    <row r="39" spans="1:52" ht="33.75" customHeight="1" x14ac:dyDescent="0.2">
      <c r="A39" s="132" t="s">
        <v>65</v>
      </c>
      <c r="B39" s="126"/>
      <c r="C39" s="106"/>
      <c r="D39" s="54"/>
      <c r="E39" s="53"/>
      <c r="F39" s="53"/>
      <c r="G39" s="53"/>
      <c r="H39" s="53"/>
      <c r="I39" s="54"/>
      <c r="J39" s="54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5">
        <f t="shared" si="0"/>
        <v>0</v>
      </c>
      <c r="AS39" s="33">
        <v>600</v>
      </c>
      <c r="AT39" s="34">
        <f t="shared" si="1"/>
        <v>0</v>
      </c>
      <c r="AU39" s="35" t="s">
        <v>42</v>
      </c>
      <c r="AV39" s="36"/>
      <c r="AW39" s="36"/>
      <c r="AX39" s="36"/>
      <c r="AY39" s="36"/>
      <c r="AZ39" s="36"/>
    </row>
    <row r="40" spans="1:52" ht="33.75" customHeight="1" x14ac:dyDescent="0.2">
      <c r="A40" s="133" t="s">
        <v>66</v>
      </c>
      <c r="B40" s="126"/>
      <c r="C40" s="127"/>
      <c r="D40" s="101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32">
        <f t="shared" si="0"/>
        <v>0</v>
      </c>
      <c r="AS40" s="33">
        <v>650</v>
      </c>
      <c r="AT40" s="34">
        <f t="shared" si="1"/>
        <v>0</v>
      </c>
      <c r="AU40" s="35" t="s">
        <v>42</v>
      </c>
      <c r="AV40" s="36"/>
      <c r="AW40" s="36"/>
      <c r="AX40" s="36"/>
      <c r="AY40" s="36"/>
      <c r="AZ40" s="36"/>
    </row>
    <row r="41" spans="1:52" ht="33.75" customHeight="1" x14ac:dyDescent="0.2">
      <c r="A41" s="134" t="s">
        <v>67</v>
      </c>
      <c r="B41" s="126"/>
      <c r="C41" s="106"/>
      <c r="D41" s="102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5">
        <f t="shared" si="0"/>
        <v>0</v>
      </c>
      <c r="AS41" s="33">
        <v>700</v>
      </c>
      <c r="AT41" s="34">
        <f t="shared" si="1"/>
        <v>0</v>
      </c>
      <c r="AU41" s="35" t="s">
        <v>42</v>
      </c>
      <c r="AV41" s="36"/>
      <c r="AW41" s="36"/>
      <c r="AX41" s="36"/>
      <c r="AY41" s="36"/>
      <c r="AZ41" s="36"/>
    </row>
    <row r="42" spans="1:52" ht="33.75" customHeight="1" x14ac:dyDescent="0.2">
      <c r="A42" s="135" t="s">
        <v>68</v>
      </c>
      <c r="B42" s="126"/>
      <c r="C42" s="106"/>
      <c r="D42" s="103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55">
        <f t="shared" si="0"/>
        <v>0</v>
      </c>
      <c r="AS42" s="33">
        <v>825</v>
      </c>
      <c r="AT42" s="34">
        <f t="shared" si="1"/>
        <v>0</v>
      </c>
      <c r="AU42" s="35" t="s">
        <v>42</v>
      </c>
      <c r="AV42" s="36"/>
      <c r="AW42" s="36"/>
      <c r="AX42" s="36"/>
      <c r="AY42" s="36"/>
      <c r="AZ42" s="36"/>
    </row>
    <row r="43" spans="1:52" ht="33.75" customHeight="1" x14ac:dyDescent="0.2">
      <c r="A43" s="136" t="s">
        <v>69</v>
      </c>
      <c r="B43" s="126"/>
      <c r="C43" s="127"/>
      <c r="D43" s="62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62"/>
      <c r="AR43" s="55">
        <f t="shared" si="0"/>
        <v>0</v>
      </c>
      <c r="AS43" s="33">
        <v>300</v>
      </c>
      <c r="AT43" s="34">
        <f t="shared" si="1"/>
        <v>0</v>
      </c>
      <c r="AU43" s="35" t="s">
        <v>42</v>
      </c>
      <c r="AV43" s="36"/>
      <c r="AW43" s="36"/>
      <c r="AX43" s="36"/>
      <c r="AY43" s="36"/>
      <c r="AZ43" s="36"/>
    </row>
    <row r="44" spans="1:52" ht="42" customHeight="1" x14ac:dyDescent="0.2">
      <c r="A44" s="137" t="s">
        <v>70</v>
      </c>
      <c r="B44" s="109"/>
      <c r="C44" s="109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32">
        <f t="shared" si="0"/>
        <v>0</v>
      </c>
      <c r="AS44" s="65">
        <v>31</v>
      </c>
      <c r="AT44" s="34">
        <f t="shared" si="1"/>
        <v>0</v>
      </c>
      <c r="AU44" s="35" t="s">
        <v>42</v>
      </c>
      <c r="AV44" s="36"/>
      <c r="AW44" s="36"/>
      <c r="AX44" s="36"/>
      <c r="AY44" s="36"/>
      <c r="AZ44" s="36"/>
    </row>
    <row r="45" spans="1:52" ht="33.75" customHeight="1" x14ac:dyDescent="0.2">
      <c r="A45" s="136" t="s">
        <v>71</v>
      </c>
      <c r="B45" s="126"/>
      <c r="C45" s="127"/>
      <c r="D45" s="62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62"/>
      <c r="AR45" s="32">
        <f t="shared" si="0"/>
        <v>0</v>
      </c>
      <c r="AS45" s="65">
        <v>15</v>
      </c>
      <c r="AT45" s="34">
        <f t="shared" si="1"/>
        <v>0</v>
      </c>
      <c r="AU45" s="35" t="s">
        <v>42</v>
      </c>
      <c r="AV45" s="36"/>
      <c r="AW45" s="36"/>
      <c r="AX45" s="36"/>
      <c r="AY45" s="36"/>
      <c r="AZ45" s="36"/>
    </row>
    <row r="46" spans="1:52" ht="33.75" customHeight="1" x14ac:dyDescent="0.2">
      <c r="A46" s="138" t="s">
        <v>72</v>
      </c>
      <c r="B46" s="126"/>
      <c r="C46" s="127"/>
      <c r="D46" s="66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66"/>
      <c r="AJ46" s="31"/>
      <c r="AK46" s="31"/>
      <c r="AL46" s="31"/>
      <c r="AM46" s="31"/>
      <c r="AN46" s="31"/>
      <c r="AO46" s="31"/>
      <c r="AP46" s="31"/>
      <c r="AQ46" s="31"/>
      <c r="AR46" s="32">
        <f t="shared" si="0"/>
        <v>0</v>
      </c>
      <c r="AS46" s="65">
        <v>25</v>
      </c>
      <c r="AT46" s="34">
        <f t="shared" si="1"/>
        <v>0</v>
      </c>
      <c r="AU46" s="35" t="s">
        <v>42</v>
      </c>
      <c r="AV46" s="36"/>
      <c r="AW46" s="36"/>
      <c r="AX46" s="36"/>
      <c r="AY46" s="36"/>
      <c r="AZ46" s="36"/>
    </row>
    <row r="47" spans="1:52" ht="33.75" customHeight="1" x14ac:dyDescent="0.2">
      <c r="A47" s="136" t="s">
        <v>73</v>
      </c>
      <c r="B47" s="126"/>
      <c r="C47" s="127"/>
      <c r="D47" s="62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2">
        <f t="shared" si="0"/>
        <v>0</v>
      </c>
      <c r="AS47" s="65">
        <v>150</v>
      </c>
      <c r="AT47" s="34">
        <f t="shared" si="1"/>
        <v>0</v>
      </c>
      <c r="AU47" s="35" t="s">
        <v>42</v>
      </c>
      <c r="AV47" s="36"/>
      <c r="AW47" s="36"/>
      <c r="AX47" s="36"/>
      <c r="AY47" s="36"/>
      <c r="AZ47" s="36"/>
    </row>
    <row r="48" spans="1:52" ht="33.75" customHeight="1" x14ac:dyDescent="0.2">
      <c r="A48" s="138" t="s">
        <v>74</v>
      </c>
      <c r="B48" s="126"/>
      <c r="C48" s="127"/>
      <c r="D48" s="66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2">
        <f t="shared" si="0"/>
        <v>0</v>
      </c>
      <c r="AS48" s="65">
        <v>1465</v>
      </c>
      <c r="AT48" s="34">
        <f t="shared" si="1"/>
        <v>0</v>
      </c>
      <c r="AU48" s="35" t="s">
        <v>42</v>
      </c>
      <c r="AV48" s="36"/>
      <c r="AW48" s="36"/>
      <c r="AX48" s="36"/>
      <c r="AY48" s="36"/>
      <c r="AZ48" s="36"/>
    </row>
    <row r="49" spans="1:52" ht="33.75" customHeight="1" x14ac:dyDescent="0.2">
      <c r="A49" s="136" t="s">
        <v>75</v>
      </c>
      <c r="B49" s="126"/>
      <c r="C49" s="127"/>
      <c r="D49" s="62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2">
        <f t="shared" si="0"/>
        <v>0</v>
      </c>
      <c r="AS49" s="65">
        <v>1565</v>
      </c>
      <c r="AT49" s="34">
        <f t="shared" si="1"/>
        <v>0</v>
      </c>
      <c r="AU49" s="35" t="s">
        <v>42</v>
      </c>
      <c r="AV49" s="36"/>
      <c r="AW49" s="36"/>
      <c r="AX49" s="36"/>
      <c r="AY49" s="36"/>
      <c r="AZ49" s="36"/>
    </row>
    <row r="50" spans="1:52" ht="33.75" customHeight="1" x14ac:dyDescent="0.2">
      <c r="A50" s="140" t="s">
        <v>76</v>
      </c>
      <c r="B50" s="126"/>
      <c r="C50" s="106"/>
      <c r="D50" s="104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55">
        <f t="shared" si="0"/>
        <v>0</v>
      </c>
      <c r="AS50" s="65">
        <v>1885</v>
      </c>
      <c r="AT50" s="34">
        <f t="shared" si="1"/>
        <v>0</v>
      </c>
      <c r="AU50" s="35" t="s">
        <v>42</v>
      </c>
      <c r="AV50" s="36"/>
      <c r="AW50" s="36"/>
      <c r="AX50" s="36"/>
      <c r="AY50" s="36"/>
      <c r="AZ50" s="36"/>
    </row>
    <row r="51" spans="1:52" ht="33.75" customHeight="1" x14ac:dyDescent="0.2">
      <c r="A51" s="69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139"/>
      <c r="R51" s="126"/>
      <c r="S51" s="126"/>
      <c r="T51" s="126"/>
      <c r="U51" s="126"/>
      <c r="V51" s="126"/>
      <c r="W51" s="126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2"/>
      <c r="AR51" s="73"/>
      <c r="AS51" s="74"/>
      <c r="AT51" s="73"/>
      <c r="AU51" s="75"/>
      <c r="AV51" s="36"/>
      <c r="AW51" s="36"/>
      <c r="AX51" s="36"/>
      <c r="AY51" s="36"/>
      <c r="AZ51" s="36"/>
    </row>
    <row r="52" spans="1:52" ht="33.75" customHeight="1" x14ac:dyDescent="0.2">
      <c r="A52" s="141" t="s">
        <v>77</v>
      </c>
      <c r="B52" s="126"/>
      <c r="C52" s="126"/>
      <c r="D52" s="62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2">
        <f t="shared" ref="AR52:AR63" si="2">SUM(D52:AQ52)</f>
        <v>0</v>
      </c>
      <c r="AS52" s="33">
        <v>360</v>
      </c>
      <c r="AT52" s="76" t="s">
        <v>42</v>
      </c>
      <c r="AU52" s="77">
        <f t="shared" ref="AU52:AU63" si="3">AR52*AS52</f>
        <v>0</v>
      </c>
      <c r="AV52" s="36"/>
      <c r="AW52" s="36"/>
      <c r="AX52" s="36"/>
      <c r="AY52" s="36"/>
      <c r="AZ52" s="36"/>
    </row>
    <row r="53" spans="1:52" ht="52.5" customHeight="1" x14ac:dyDescent="0.2">
      <c r="A53" s="142" t="s">
        <v>78</v>
      </c>
      <c r="B53" s="126"/>
      <c r="C53" s="127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2">
        <f t="shared" si="2"/>
        <v>0</v>
      </c>
      <c r="AS53" s="33">
        <v>315</v>
      </c>
      <c r="AT53" s="76" t="s">
        <v>42</v>
      </c>
      <c r="AU53" s="77">
        <f t="shared" si="3"/>
        <v>0</v>
      </c>
      <c r="AV53" s="36"/>
      <c r="AW53" s="36"/>
      <c r="AX53" s="36"/>
      <c r="AY53" s="36"/>
      <c r="AZ53" s="36"/>
    </row>
    <row r="54" spans="1:52" ht="52.5" customHeight="1" x14ac:dyDescent="0.2">
      <c r="A54" s="143" t="s">
        <v>79</v>
      </c>
      <c r="B54" s="126"/>
      <c r="C54" s="127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2">
        <f t="shared" si="2"/>
        <v>0</v>
      </c>
      <c r="AS54" s="33">
        <v>365</v>
      </c>
      <c r="AT54" s="76" t="s">
        <v>42</v>
      </c>
      <c r="AU54" s="77">
        <f t="shared" si="3"/>
        <v>0</v>
      </c>
      <c r="AV54" s="36"/>
      <c r="AW54" s="36"/>
      <c r="AX54" s="36"/>
      <c r="AY54" s="36"/>
      <c r="AZ54" s="36"/>
    </row>
    <row r="55" spans="1:52" ht="33.75" customHeight="1" x14ac:dyDescent="0.2">
      <c r="A55" s="144" t="s">
        <v>80</v>
      </c>
      <c r="B55" s="126"/>
      <c r="C55" s="127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2">
        <f t="shared" si="2"/>
        <v>0</v>
      </c>
      <c r="AS55" s="33">
        <v>300</v>
      </c>
      <c r="AT55" s="76" t="s">
        <v>42</v>
      </c>
      <c r="AU55" s="77">
        <f t="shared" si="3"/>
        <v>0</v>
      </c>
      <c r="AV55" s="36"/>
      <c r="AW55" s="36"/>
      <c r="AX55" s="36"/>
      <c r="AY55" s="36"/>
      <c r="AZ55" s="36"/>
    </row>
    <row r="56" spans="1:52" ht="33.75" customHeight="1" x14ac:dyDescent="0.2">
      <c r="A56" s="141" t="s">
        <v>81</v>
      </c>
      <c r="B56" s="126"/>
      <c r="C56" s="127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62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62"/>
      <c r="AR56" s="32">
        <f t="shared" si="2"/>
        <v>0</v>
      </c>
      <c r="AS56" s="65">
        <v>140</v>
      </c>
      <c r="AT56" s="76" t="s">
        <v>42</v>
      </c>
      <c r="AU56" s="77">
        <f t="shared" si="3"/>
        <v>0</v>
      </c>
      <c r="AV56" s="36"/>
      <c r="AW56" s="36"/>
      <c r="AX56" s="36"/>
      <c r="AY56" s="36"/>
      <c r="AZ56" s="36"/>
    </row>
    <row r="57" spans="1:52" ht="33.75" customHeight="1" x14ac:dyDescent="0.2">
      <c r="A57" s="144" t="s">
        <v>82</v>
      </c>
      <c r="B57" s="126"/>
      <c r="C57" s="127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2">
        <f t="shared" si="2"/>
        <v>0</v>
      </c>
      <c r="AS57" s="65">
        <v>120</v>
      </c>
      <c r="AT57" s="76" t="s">
        <v>42</v>
      </c>
      <c r="AU57" s="77">
        <f t="shared" si="3"/>
        <v>0</v>
      </c>
      <c r="AV57" s="36"/>
      <c r="AW57" s="36"/>
      <c r="AX57" s="36"/>
      <c r="AY57" s="36"/>
      <c r="AZ57" s="36"/>
    </row>
    <row r="58" spans="1:52" ht="33.75" customHeight="1" x14ac:dyDescent="0.2">
      <c r="A58" s="141" t="s">
        <v>83</v>
      </c>
      <c r="B58" s="126"/>
      <c r="C58" s="127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2">
        <f t="shared" si="2"/>
        <v>0</v>
      </c>
      <c r="AS58" s="65">
        <v>110</v>
      </c>
      <c r="AT58" s="76" t="s">
        <v>42</v>
      </c>
      <c r="AU58" s="77">
        <f t="shared" si="3"/>
        <v>0</v>
      </c>
      <c r="AV58" s="36"/>
      <c r="AW58" s="36"/>
      <c r="AX58" s="36"/>
      <c r="AY58" s="36"/>
      <c r="AZ58" s="36"/>
    </row>
    <row r="59" spans="1:52" ht="33.75" customHeight="1" x14ac:dyDescent="0.2">
      <c r="A59" s="144" t="s">
        <v>84</v>
      </c>
      <c r="B59" s="126"/>
      <c r="C59" s="127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66"/>
      <c r="AB59" s="66"/>
      <c r="AC59" s="66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2">
        <f t="shared" si="2"/>
        <v>0</v>
      </c>
      <c r="AS59" s="65">
        <v>300</v>
      </c>
      <c r="AT59" s="76" t="s">
        <v>42</v>
      </c>
      <c r="AU59" s="77">
        <f t="shared" si="3"/>
        <v>0</v>
      </c>
      <c r="AV59" s="36"/>
      <c r="AW59" s="36"/>
      <c r="AX59" s="36"/>
      <c r="AY59" s="36"/>
      <c r="AZ59" s="36"/>
    </row>
    <row r="60" spans="1:52" ht="33.75" customHeight="1" x14ac:dyDescent="0.2">
      <c r="A60" s="141" t="s">
        <v>85</v>
      </c>
      <c r="B60" s="126"/>
      <c r="C60" s="127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62"/>
      <c r="AB60" s="62"/>
      <c r="AC60" s="62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2">
        <f t="shared" si="2"/>
        <v>0</v>
      </c>
      <c r="AS60" s="65">
        <v>400</v>
      </c>
      <c r="AT60" s="76" t="s">
        <v>42</v>
      </c>
      <c r="AU60" s="77">
        <f t="shared" si="3"/>
        <v>0</v>
      </c>
      <c r="AV60" s="36"/>
      <c r="AW60" s="36"/>
      <c r="AX60" s="36"/>
      <c r="AY60" s="36"/>
      <c r="AZ60" s="36"/>
    </row>
    <row r="61" spans="1:52" ht="57" customHeight="1" x14ac:dyDescent="0.2">
      <c r="A61" s="149" t="s">
        <v>86</v>
      </c>
      <c r="B61" s="126"/>
      <c r="C61" s="126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66"/>
      <c r="AK61" s="31"/>
      <c r="AL61" s="31"/>
      <c r="AM61" s="31"/>
      <c r="AN61" s="31"/>
      <c r="AO61" s="31"/>
      <c r="AP61" s="31"/>
      <c r="AQ61" s="31"/>
      <c r="AR61" s="32">
        <f t="shared" si="2"/>
        <v>0</v>
      </c>
      <c r="AS61" s="33">
        <v>355</v>
      </c>
      <c r="AT61" s="76" t="s">
        <v>42</v>
      </c>
      <c r="AU61" s="77">
        <f t="shared" si="3"/>
        <v>0</v>
      </c>
      <c r="AV61" s="36"/>
      <c r="AW61" s="36"/>
      <c r="AX61" s="36"/>
      <c r="AY61" s="36"/>
      <c r="AZ61" s="36"/>
    </row>
    <row r="62" spans="1:52" ht="57" customHeight="1" x14ac:dyDescent="0.2">
      <c r="A62" s="150" t="s">
        <v>87</v>
      </c>
      <c r="B62" s="126"/>
      <c r="C62" s="126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62"/>
      <c r="AK62" s="38"/>
      <c r="AL62" s="38"/>
      <c r="AM62" s="38"/>
      <c r="AN62" s="38"/>
      <c r="AO62" s="38"/>
      <c r="AP62" s="38"/>
      <c r="AQ62" s="38"/>
      <c r="AR62" s="32">
        <f t="shared" si="2"/>
        <v>0</v>
      </c>
      <c r="AS62" s="33">
        <v>150</v>
      </c>
      <c r="AT62" s="76" t="s">
        <v>42</v>
      </c>
      <c r="AU62" s="77">
        <f t="shared" si="3"/>
        <v>0</v>
      </c>
      <c r="AV62" s="36"/>
      <c r="AW62" s="36"/>
      <c r="AX62" s="36"/>
      <c r="AY62" s="36"/>
      <c r="AZ62" s="36"/>
    </row>
    <row r="63" spans="1:52" ht="33.75" customHeight="1" x14ac:dyDescent="0.2">
      <c r="A63" s="144" t="s">
        <v>88</v>
      </c>
      <c r="B63" s="126"/>
      <c r="C63" s="127"/>
      <c r="D63" s="66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66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66"/>
      <c r="AR63" s="32">
        <f t="shared" si="2"/>
        <v>0</v>
      </c>
      <c r="AS63" s="33">
        <v>480</v>
      </c>
      <c r="AT63" s="76" t="s">
        <v>42</v>
      </c>
      <c r="AU63" s="77">
        <f t="shared" si="3"/>
        <v>0</v>
      </c>
      <c r="AV63" s="36"/>
      <c r="AW63" s="36"/>
      <c r="AX63" s="36"/>
      <c r="AY63" s="36"/>
      <c r="AZ63" s="36"/>
    </row>
    <row r="64" spans="1:52" ht="15.75" customHeight="1" x14ac:dyDescent="0.2"/>
    <row r="65" spans="1:52" ht="34.5" customHeight="1" x14ac:dyDescent="0.4">
      <c r="A65" s="151"/>
      <c r="B65" s="146"/>
      <c r="C65" s="146"/>
      <c r="D65" s="78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145" t="s">
        <v>89</v>
      </c>
      <c r="AN65" s="146"/>
      <c r="AO65" s="146"/>
      <c r="AP65" s="146"/>
      <c r="AQ65" s="147"/>
      <c r="AR65" s="80"/>
      <c r="AS65" s="80"/>
      <c r="AT65" s="81">
        <f>SUM(AT16:AT50)</f>
        <v>0</v>
      </c>
      <c r="AU65" s="82"/>
      <c r="AV65" s="10"/>
      <c r="AW65" s="10"/>
      <c r="AX65" s="10"/>
      <c r="AY65" s="10"/>
      <c r="AZ65" s="10"/>
    </row>
    <row r="66" spans="1:52" ht="34.5" customHeight="1" x14ac:dyDescent="0.4">
      <c r="A66" s="83"/>
      <c r="B66" s="78"/>
      <c r="C66" s="78"/>
      <c r="D66" s="78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145" t="s">
        <v>90</v>
      </c>
      <c r="AN66" s="146"/>
      <c r="AO66" s="146"/>
      <c r="AP66" s="146"/>
      <c r="AQ66" s="147"/>
      <c r="AR66" s="80"/>
      <c r="AS66" s="80"/>
      <c r="AT66" s="84"/>
      <c r="AU66" s="85">
        <f>SUM(AU16:AU63)</f>
        <v>0</v>
      </c>
      <c r="AV66" s="10"/>
      <c r="AW66" s="10"/>
      <c r="AX66" s="10"/>
      <c r="AY66" s="10"/>
      <c r="AZ66" s="10"/>
    </row>
    <row r="67" spans="1:52" ht="34.5" customHeight="1" x14ac:dyDescent="0.4">
      <c r="A67" s="86"/>
      <c r="B67" s="78"/>
      <c r="C67" s="78"/>
      <c r="D67" s="78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78"/>
      <c r="AN67" s="78"/>
      <c r="AO67" s="78"/>
      <c r="AP67" s="78"/>
      <c r="AQ67" s="88"/>
      <c r="AR67" s="80"/>
      <c r="AS67" s="89"/>
      <c r="AT67" s="84"/>
      <c r="AU67" s="82"/>
      <c r="AV67" s="10"/>
      <c r="AW67" s="10"/>
      <c r="AX67" s="10"/>
      <c r="AY67" s="10"/>
      <c r="AZ67" s="10"/>
    </row>
    <row r="68" spans="1:52" ht="34.5" customHeight="1" x14ac:dyDescent="0.4">
      <c r="A68" s="90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2" t="s">
        <v>91</v>
      </c>
      <c r="AR68" s="93"/>
      <c r="AS68" s="94"/>
      <c r="AT68" s="93"/>
      <c r="AU68" s="95">
        <f>SUM(AT65+AU66)</f>
        <v>0</v>
      </c>
      <c r="AV68" s="10"/>
      <c r="AW68" s="10"/>
      <c r="AX68" s="10"/>
      <c r="AY68" s="10"/>
      <c r="AZ68" s="10"/>
    </row>
    <row r="69" spans="1:52" ht="13.5" customHeight="1" x14ac:dyDescent="0.2">
      <c r="A69" s="96"/>
      <c r="C69" s="10"/>
      <c r="D69" s="10"/>
      <c r="AA69" s="148"/>
      <c r="AB69" s="109"/>
      <c r="AC69" s="109"/>
      <c r="AD69" s="109"/>
      <c r="AE69" s="109"/>
      <c r="AF69" s="109"/>
      <c r="AG69" s="109"/>
      <c r="AH69" s="109"/>
      <c r="AI69" s="109"/>
      <c r="AJ69" s="97"/>
      <c r="AK69" s="97"/>
      <c r="AL69" s="97"/>
      <c r="AM69" s="97"/>
      <c r="AN69" s="97"/>
      <c r="AO69" s="97"/>
      <c r="AP69" s="97"/>
      <c r="AQ69" s="97"/>
      <c r="AR69" s="10"/>
      <c r="AS69" s="10"/>
      <c r="AT69" s="10"/>
      <c r="AU69" s="10"/>
      <c r="AV69" s="10"/>
      <c r="AW69" s="10"/>
      <c r="AX69" s="10"/>
      <c r="AY69" s="10"/>
      <c r="AZ69" s="10"/>
    </row>
    <row r="70" spans="1:52" ht="12.75" customHeight="1" x14ac:dyDescent="0.2">
      <c r="A70" s="98"/>
      <c r="C70" s="10"/>
      <c r="D70" s="10"/>
      <c r="AR70" s="10"/>
      <c r="AS70" s="10"/>
      <c r="AT70" s="10"/>
      <c r="AU70" s="10"/>
      <c r="AV70" s="10"/>
      <c r="AW70" s="10"/>
      <c r="AX70" s="10"/>
      <c r="AY70" s="10"/>
      <c r="AZ70" s="10"/>
    </row>
    <row r="71" spans="1:52" ht="12.75" customHeight="1" x14ac:dyDescent="0.2">
      <c r="C71" s="10"/>
      <c r="D71" s="10"/>
      <c r="AR71" s="10"/>
      <c r="AS71" s="10"/>
      <c r="AT71" s="10"/>
      <c r="AU71" s="10"/>
      <c r="AV71" s="10"/>
      <c r="AW71" s="10"/>
      <c r="AX71" s="10"/>
      <c r="AY71" s="10"/>
      <c r="AZ71" s="10"/>
    </row>
    <row r="72" spans="1:52" ht="15.75" customHeight="1" x14ac:dyDescent="0.2"/>
    <row r="73" spans="1:52" ht="15.75" customHeight="1" x14ac:dyDescent="0.2"/>
    <row r="74" spans="1:52" ht="15.75" customHeight="1" x14ac:dyDescent="0.2"/>
    <row r="75" spans="1:52" ht="15.75" customHeight="1" x14ac:dyDescent="0.2"/>
    <row r="76" spans="1:52" ht="15.75" customHeight="1" x14ac:dyDescent="0.2"/>
    <row r="77" spans="1:52" ht="15.75" customHeight="1" x14ac:dyDescent="0.2"/>
    <row r="78" spans="1:52" ht="15.75" customHeight="1" x14ac:dyDescent="0.2"/>
    <row r="79" spans="1:52" ht="15.75" customHeight="1" x14ac:dyDescent="0.2"/>
    <row r="80" spans="1:5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83">
    <mergeCell ref="A20:C20"/>
    <mergeCell ref="A21:C21"/>
    <mergeCell ref="A22:C22"/>
    <mergeCell ref="A11:B14"/>
    <mergeCell ref="A16:C16"/>
    <mergeCell ref="A17:C17"/>
    <mergeCell ref="A18:C18"/>
    <mergeCell ref="A19:C19"/>
    <mergeCell ref="Q15:X15"/>
    <mergeCell ref="E6:M6"/>
    <mergeCell ref="E7:M7"/>
    <mergeCell ref="N7:T7"/>
    <mergeCell ref="E8:M8"/>
    <mergeCell ref="N8:P8"/>
    <mergeCell ref="Q8:R8"/>
    <mergeCell ref="AR11:AR14"/>
    <mergeCell ref="AS11:AS14"/>
    <mergeCell ref="AT11:AT14"/>
    <mergeCell ref="AU11:AU14"/>
    <mergeCell ref="V5:AC5"/>
    <mergeCell ref="V6:AC6"/>
    <mergeCell ref="V7:AC7"/>
    <mergeCell ref="AD7:AK7"/>
    <mergeCell ref="V8:AC8"/>
    <mergeCell ref="AD8:AK8"/>
    <mergeCell ref="AD10:AK10"/>
    <mergeCell ref="N6:T6"/>
    <mergeCell ref="AD6:AK6"/>
    <mergeCell ref="E9:M9"/>
    <mergeCell ref="N9:T9"/>
    <mergeCell ref="V9:AC9"/>
    <mergeCell ref="AD9:AK9"/>
    <mergeCell ref="S8:T8"/>
    <mergeCell ref="H1:AU4"/>
    <mergeCell ref="E5:M5"/>
    <mergeCell ref="N5:T5"/>
    <mergeCell ref="AD5:AK5"/>
    <mergeCell ref="AM5:AR5"/>
    <mergeCell ref="AM65:AQ65"/>
    <mergeCell ref="AM66:AQ66"/>
    <mergeCell ref="AA69:AI69"/>
    <mergeCell ref="A58:C58"/>
    <mergeCell ref="A59:C59"/>
    <mergeCell ref="A60:C60"/>
    <mergeCell ref="A61:C61"/>
    <mergeCell ref="A62:C62"/>
    <mergeCell ref="A63:C63"/>
    <mergeCell ref="A65:C65"/>
    <mergeCell ref="A53:C53"/>
    <mergeCell ref="A54:C54"/>
    <mergeCell ref="A55:C55"/>
    <mergeCell ref="A56:C56"/>
    <mergeCell ref="A57:C57"/>
    <mergeCell ref="A48:C48"/>
    <mergeCell ref="A49:C49"/>
    <mergeCell ref="Q51:W51"/>
    <mergeCell ref="A50:C50"/>
    <mergeCell ref="A52:C52"/>
    <mergeCell ref="A43:C43"/>
    <mergeCell ref="A44:C44"/>
    <mergeCell ref="A45:C45"/>
    <mergeCell ref="A46:C46"/>
    <mergeCell ref="A47:C47"/>
    <mergeCell ref="A38:C38"/>
    <mergeCell ref="A39:C39"/>
    <mergeCell ref="A40:C40"/>
    <mergeCell ref="A41:C41"/>
    <mergeCell ref="A42:C42"/>
    <mergeCell ref="A33:C33"/>
    <mergeCell ref="A34:C34"/>
    <mergeCell ref="A35:C35"/>
    <mergeCell ref="A36:C36"/>
    <mergeCell ref="A37:C37"/>
    <mergeCell ref="A28:C28"/>
    <mergeCell ref="A29:C29"/>
    <mergeCell ref="A30:C30"/>
    <mergeCell ref="A31:C31"/>
    <mergeCell ref="A32:C32"/>
    <mergeCell ref="A23:C23"/>
    <mergeCell ref="A24:C24"/>
    <mergeCell ref="A25:C25"/>
    <mergeCell ref="A26:C26"/>
    <mergeCell ref="A27:C27"/>
  </mergeCells>
  <dataValidations count="15">
    <dataValidation type="list" allowBlank="1" sqref="N8" xr:uid="{00000000-0002-0000-0400-000000000000}">
      <formula1>"RP,Vac Breaker,Double Check,Anti-Siphon"</formula1>
    </dataValidation>
    <dataValidation type="list" allowBlank="1" sqref="A52" xr:uid="{00000000-0002-0000-0400-000001000000}">
      <formula1>"Quick coupler replacement 3/4"",Quick coupler replacement 1"""</formula1>
    </dataValidation>
    <dataValidation type="list" allowBlank="1" sqref="AD6" xr:uid="{00000000-0002-0000-0400-000002000000}">
      <formula1>"1,2,3,4,5,6,7,8,9,10,A,B,C,D,E,F,G,H,I,J,K,L,M,N,O,P,Q,R,S,T,U,V"</formula1>
    </dataValidation>
    <dataValidation type="custom" allowBlank="1" showDropDown="1" sqref="N9" xr:uid="{00000000-0002-0000-0400-000003000000}">
      <formula1>OR(NOT(ISERROR(DATEVALUE(N9))), AND(ISNUMBER(N9), LEFT(CELL("format", N9))="D"))</formula1>
    </dataValidation>
    <dataValidation type="list" allowBlank="1" sqref="N6" xr:uid="{00000000-0002-0000-0400-000004000000}">
      <formula1>"Yes,No,Partial"</formula1>
    </dataValidation>
    <dataValidation type="list" allowBlank="1" sqref="N7" xr:uid="{00000000-0002-0000-0400-000005000000}">
      <formula1>"Potable,Recycled,Mixed"</formula1>
    </dataValidation>
    <dataValidation type="list" allowBlank="1" sqref="N5" xr:uid="{00000000-0002-0000-0400-000006000000}">
      <formula1>"Yes,No"</formula1>
    </dataValidation>
    <dataValidation type="list" allowBlank="1" sqref="D16:N16 P16:AQ16 D17:AQ50 D52:AQ63" xr:uid="{00000000-0002-0000-0400-000007000000}">
      <formula1>"1,2,3,4,5,6,7,8,9,10"</formula1>
    </dataValidation>
    <dataValidation type="list" allowBlank="1" sqref="S8" xr:uid="{00000000-0002-0000-0400-000008000000}">
      <formula1>"Single POC,Multiple POC"</formula1>
    </dataValidation>
    <dataValidation type="list" allowBlank="1" sqref="D12:AQ12" xr:uid="{00000000-0002-0000-0400-000009000000}">
      <formula1>"Bubbler,Spray Head,Part Circle Rotor,Full Circle Rotor,Mix Rotor,Multi Stream Rotor,MP Rotator,On grade drip,Subsurface Drip,Point Source Drip"</formula1>
    </dataValidation>
    <dataValidation type="list" allowBlank="1" sqref="AD8" xr:uid="{00000000-0002-0000-0400-00000A000000}">
      <formula1>"WeatherTrak ETPRO3,WeatherTrak ET PRO2,WeatherTrak OptiFlow,WEATHERMATIC SMARTLINE,ET WATER,RAINMASTER SENTAR II,IRRITROL MC,RainBird IQ,RainDial,Tucor,Baseline,Hunter 2 wire,Hunter Node"</formula1>
    </dataValidation>
    <dataValidation type="list" allowBlank="1" sqref="O16" xr:uid="{00000000-0002-0000-0400-00000B000000}">
      <formula1>"1,2,3,4,5,6,7,8,9,10,11,12,13,14,15,16,17,18,19,20,21,22,23,24,25,26,27,28,29,30"</formula1>
    </dataValidation>
    <dataValidation type="list" allowBlank="1" sqref="Q8" xr:uid="{00000000-0002-0000-0400-00000C000000}">
      <formula1>"1/2"",3/4"",1"",1.5"",2"",2.5"",3"",4"",6"""</formula1>
    </dataValidation>
    <dataValidation type="list" allowBlank="1" sqref="D11:AQ11" xr:uid="{00000000-0002-0000-0400-00000D000000}">
      <formula1>"Shrubs,Ground Cover,Turf,Grasses,Native Grasses,Tree"</formula1>
    </dataValidation>
    <dataValidation type="list" allowBlank="1" sqref="D13:AQ13" xr:uid="{00000000-0002-0000-0400-00000E000000}">
      <formula1>"0-10,11-20,21-30,31-40,41-50,51-60,61-70,71-80,81-90,91-100,101-110,111-120,121-130,131-140,141-150,151-160,161-170,171-180,181-190,191-200,201-210,211-220,221-230,231-240,241-250,251-260,261-270,271-280,281-290,291-300"</formula1>
    </dataValidation>
  </dataValidations>
  <printOptions horizontalCentered="1" gridLines="1"/>
  <pageMargins left="0.25" right="0.25" top="0.75" bottom="0.75" header="0" footer="0"/>
  <pageSetup pageOrder="overThenDown" orientation="landscape" cellComments="atEnd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Z1004"/>
  <sheetViews>
    <sheetView showGridLines="0" workbookViewId="0">
      <pane xSplit="3" ySplit="14" topLeftCell="D15" activePane="bottomRight" state="frozen"/>
      <selection pane="topRight" activeCell="D1" sqref="D1"/>
      <selection pane="bottomLeft" activeCell="A15" sqref="A15"/>
      <selection pane="bottomRight" activeCell="D15" sqref="D15"/>
    </sheetView>
  </sheetViews>
  <sheetFormatPr defaultColWidth="12.5703125" defaultRowHeight="15" customHeight="1" x14ac:dyDescent="0.2"/>
  <cols>
    <col min="1" max="1" width="18.28515625" customWidth="1"/>
    <col min="2" max="2" width="7.5703125" customWidth="1"/>
    <col min="3" max="3" width="29.85546875" customWidth="1"/>
    <col min="4" max="43" width="10.85546875" customWidth="1"/>
    <col min="44" max="44" width="13.28515625" customWidth="1"/>
    <col min="45" max="45" width="11.140625" customWidth="1"/>
    <col min="46" max="46" width="18.42578125" customWidth="1"/>
    <col min="47" max="47" width="18.85546875" customWidth="1"/>
    <col min="48" max="52" width="8" customWidth="1"/>
  </cols>
  <sheetData>
    <row r="1" spans="1:52" ht="12.75" customHeight="1" x14ac:dyDescent="0.2">
      <c r="A1" s="10"/>
      <c r="B1" s="10" t="s">
        <v>14</v>
      </c>
      <c r="C1" s="10"/>
      <c r="D1" s="10"/>
      <c r="E1" s="10"/>
      <c r="F1" s="10"/>
      <c r="G1" s="10"/>
      <c r="H1" s="152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"/>
      <c r="AW1" s="10"/>
      <c r="AX1" s="10"/>
      <c r="AY1" s="10"/>
      <c r="AZ1" s="10"/>
    </row>
    <row r="2" spans="1:52" ht="12.75" customHeight="1" x14ac:dyDescent="0.2">
      <c r="A2" s="10"/>
      <c r="B2" s="10"/>
      <c r="C2" s="10"/>
      <c r="D2" s="10"/>
      <c r="E2" s="10"/>
      <c r="F2" s="10"/>
      <c r="G2" s="10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09"/>
      <c r="AV2" s="10"/>
      <c r="AW2" s="10"/>
      <c r="AX2" s="10"/>
      <c r="AY2" s="10"/>
      <c r="AZ2" s="10"/>
    </row>
    <row r="3" spans="1:52" ht="12.75" customHeight="1" x14ac:dyDescent="0.2">
      <c r="A3" s="10"/>
      <c r="B3" s="10"/>
      <c r="C3" s="10"/>
      <c r="D3" s="10"/>
      <c r="E3" s="10"/>
      <c r="F3" s="10"/>
      <c r="G3" s="10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"/>
      <c r="AW3" s="10"/>
      <c r="AX3" s="10"/>
      <c r="AY3" s="10"/>
      <c r="AZ3" s="10"/>
    </row>
    <row r="4" spans="1:52" ht="12.75" customHeight="1" x14ac:dyDescent="0.2">
      <c r="A4" s="10"/>
      <c r="B4" s="10"/>
      <c r="C4" s="10"/>
      <c r="D4" s="10"/>
      <c r="E4" s="10"/>
      <c r="F4" s="10"/>
      <c r="G4" s="10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"/>
      <c r="AW4" s="10"/>
      <c r="AX4" s="10"/>
      <c r="AY4" s="10"/>
      <c r="AZ4" s="10"/>
    </row>
    <row r="5" spans="1:52" ht="28.5" customHeight="1" x14ac:dyDescent="0.2">
      <c r="A5" s="10"/>
      <c r="B5" s="10"/>
      <c r="C5" s="10"/>
      <c r="D5" s="10"/>
      <c r="E5" s="153" t="s">
        <v>15</v>
      </c>
      <c r="F5" s="126"/>
      <c r="G5" s="126"/>
      <c r="H5" s="126"/>
      <c r="I5" s="126"/>
      <c r="J5" s="126"/>
      <c r="K5" s="126"/>
      <c r="L5" s="126"/>
      <c r="M5" s="126"/>
      <c r="N5" s="154"/>
      <c r="O5" s="126"/>
      <c r="P5" s="126"/>
      <c r="Q5" s="126"/>
      <c r="R5" s="126"/>
      <c r="S5" s="126"/>
      <c r="T5" s="106"/>
      <c r="U5" s="10"/>
      <c r="V5" s="155" t="s">
        <v>16</v>
      </c>
      <c r="W5" s="126"/>
      <c r="X5" s="126"/>
      <c r="Y5" s="126"/>
      <c r="Z5" s="126"/>
      <c r="AA5" s="126"/>
      <c r="AB5" s="126"/>
      <c r="AC5" s="126"/>
      <c r="AD5" s="155"/>
      <c r="AE5" s="126"/>
      <c r="AF5" s="126"/>
      <c r="AG5" s="126"/>
      <c r="AH5" s="126"/>
      <c r="AI5" s="126"/>
      <c r="AJ5" s="126"/>
      <c r="AK5" s="106"/>
      <c r="AL5" s="10"/>
      <c r="AM5" s="156"/>
      <c r="AN5" s="109"/>
      <c r="AO5" s="109"/>
      <c r="AP5" s="109"/>
      <c r="AQ5" s="109"/>
      <c r="AR5" s="109"/>
      <c r="AS5" s="10"/>
      <c r="AT5" s="10"/>
      <c r="AU5" s="10"/>
      <c r="AV5" s="10"/>
      <c r="AW5" s="10"/>
      <c r="AX5" s="10"/>
      <c r="AY5" s="10"/>
      <c r="AZ5" s="10"/>
    </row>
    <row r="6" spans="1:52" ht="28.5" customHeight="1" x14ac:dyDescent="0.2">
      <c r="A6" s="10"/>
      <c r="B6" s="10"/>
      <c r="C6" s="10"/>
      <c r="D6" s="10"/>
      <c r="E6" s="153" t="s">
        <v>17</v>
      </c>
      <c r="F6" s="126"/>
      <c r="G6" s="126"/>
      <c r="H6" s="126"/>
      <c r="I6" s="126"/>
      <c r="J6" s="126"/>
      <c r="K6" s="126"/>
      <c r="L6" s="126"/>
      <c r="M6" s="126"/>
      <c r="N6" s="157"/>
      <c r="O6" s="126"/>
      <c r="P6" s="126"/>
      <c r="Q6" s="126"/>
      <c r="R6" s="126"/>
      <c r="S6" s="126"/>
      <c r="T6" s="106"/>
      <c r="U6" s="10"/>
      <c r="V6" s="155" t="s">
        <v>18</v>
      </c>
      <c r="W6" s="126"/>
      <c r="X6" s="126"/>
      <c r="Y6" s="126"/>
      <c r="Z6" s="126"/>
      <c r="AA6" s="126"/>
      <c r="AB6" s="126"/>
      <c r="AC6" s="126"/>
      <c r="AD6" s="155"/>
      <c r="AE6" s="126"/>
      <c r="AF6" s="126"/>
      <c r="AG6" s="126"/>
      <c r="AH6" s="126"/>
      <c r="AI6" s="126"/>
      <c r="AJ6" s="126"/>
      <c r="AK6" s="106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</row>
    <row r="7" spans="1:52" ht="28.5" customHeight="1" x14ac:dyDescent="0.5">
      <c r="A7" s="10"/>
      <c r="B7" s="10"/>
      <c r="C7" s="10"/>
      <c r="D7" s="10"/>
      <c r="E7" s="153" t="s">
        <v>20</v>
      </c>
      <c r="F7" s="126"/>
      <c r="G7" s="126"/>
      <c r="H7" s="126"/>
      <c r="I7" s="126"/>
      <c r="J7" s="126"/>
      <c r="K7" s="126"/>
      <c r="L7" s="126"/>
      <c r="M7" s="106"/>
      <c r="N7" s="157"/>
      <c r="O7" s="126"/>
      <c r="P7" s="126"/>
      <c r="Q7" s="126"/>
      <c r="R7" s="126"/>
      <c r="S7" s="126"/>
      <c r="T7" s="106"/>
      <c r="U7" s="11"/>
      <c r="V7" s="155" t="s">
        <v>21</v>
      </c>
      <c r="W7" s="126"/>
      <c r="X7" s="126"/>
      <c r="Y7" s="126"/>
      <c r="Z7" s="126"/>
      <c r="AA7" s="126"/>
      <c r="AB7" s="126"/>
      <c r="AC7" s="126"/>
      <c r="AD7" s="166"/>
      <c r="AE7" s="126"/>
      <c r="AF7" s="126"/>
      <c r="AG7" s="126"/>
      <c r="AH7" s="126"/>
      <c r="AI7" s="126"/>
      <c r="AJ7" s="126"/>
      <c r="AK7" s="106"/>
      <c r="AL7" s="12"/>
      <c r="AM7" s="12"/>
      <c r="AN7" s="12"/>
      <c r="AO7" s="12"/>
      <c r="AP7" s="12"/>
      <c r="AQ7" s="12"/>
      <c r="AR7" s="12"/>
      <c r="AS7" s="12"/>
      <c r="AT7" s="10"/>
      <c r="AU7" s="10"/>
      <c r="AV7" s="10"/>
      <c r="AW7" s="10"/>
      <c r="AX7" s="10"/>
      <c r="AY7" s="10"/>
      <c r="AZ7" s="10"/>
    </row>
    <row r="8" spans="1:52" ht="30.75" customHeight="1" x14ac:dyDescent="0.45">
      <c r="A8" s="10"/>
      <c r="B8" s="10"/>
      <c r="C8" s="10"/>
      <c r="D8" s="10"/>
      <c r="E8" s="153" t="s">
        <v>22</v>
      </c>
      <c r="F8" s="126"/>
      <c r="G8" s="126"/>
      <c r="H8" s="126"/>
      <c r="I8" s="126"/>
      <c r="J8" s="126"/>
      <c r="K8" s="126"/>
      <c r="L8" s="126"/>
      <c r="M8" s="106"/>
      <c r="N8" s="169"/>
      <c r="O8" s="126"/>
      <c r="P8" s="106"/>
      <c r="Q8" s="167"/>
      <c r="R8" s="106"/>
      <c r="S8" s="167"/>
      <c r="T8" s="106"/>
      <c r="U8" s="11"/>
      <c r="V8" s="155" t="s">
        <v>23</v>
      </c>
      <c r="W8" s="126"/>
      <c r="X8" s="126"/>
      <c r="Y8" s="126"/>
      <c r="Z8" s="126"/>
      <c r="AA8" s="126"/>
      <c r="AB8" s="126"/>
      <c r="AC8" s="126"/>
      <c r="AD8" s="155"/>
      <c r="AE8" s="126"/>
      <c r="AF8" s="126"/>
      <c r="AG8" s="126"/>
      <c r="AH8" s="126"/>
      <c r="AI8" s="126"/>
      <c r="AJ8" s="126"/>
      <c r="AK8" s="106"/>
      <c r="AL8" s="13"/>
      <c r="AM8" s="13"/>
      <c r="AN8" s="13"/>
      <c r="AO8" s="13"/>
      <c r="AP8" s="13"/>
      <c r="AQ8" s="13"/>
      <c r="AR8" s="13"/>
      <c r="AS8" s="13"/>
      <c r="AT8" s="10"/>
      <c r="AU8" s="10"/>
      <c r="AV8" s="10"/>
      <c r="AW8" s="10"/>
      <c r="AX8" s="10"/>
      <c r="AY8" s="10"/>
      <c r="AZ8" s="10"/>
    </row>
    <row r="9" spans="1:52" ht="28.5" customHeight="1" x14ac:dyDescent="0.45">
      <c r="A9" s="10"/>
      <c r="B9" s="10"/>
      <c r="C9" s="10"/>
      <c r="D9" s="10"/>
      <c r="E9" s="153" t="s">
        <v>24</v>
      </c>
      <c r="F9" s="126"/>
      <c r="G9" s="126"/>
      <c r="H9" s="126"/>
      <c r="I9" s="126"/>
      <c r="J9" s="126"/>
      <c r="K9" s="126"/>
      <c r="L9" s="126"/>
      <c r="M9" s="106"/>
      <c r="N9" s="158"/>
      <c r="O9" s="126"/>
      <c r="P9" s="126"/>
      <c r="Q9" s="126"/>
      <c r="R9" s="126"/>
      <c r="S9" s="126"/>
      <c r="T9" s="106"/>
      <c r="U9" s="14" t="s">
        <v>25</v>
      </c>
      <c r="V9" s="155" t="s">
        <v>26</v>
      </c>
      <c r="W9" s="126"/>
      <c r="X9" s="126"/>
      <c r="Y9" s="126"/>
      <c r="Z9" s="126"/>
      <c r="AA9" s="126"/>
      <c r="AB9" s="126"/>
      <c r="AC9" s="106"/>
      <c r="AD9" s="159"/>
      <c r="AE9" s="160"/>
      <c r="AF9" s="160"/>
      <c r="AG9" s="160"/>
      <c r="AH9" s="160"/>
      <c r="AI9" s="160"/>
      <c r="AJ9" s="160"/>
      <c r="AK9" s="118"/>
      <c r="AL9" s="13"/>
      <c r="AM9" s="13"/>
      <c r="AN9" s="13"/>
      <c r="AO9" s="13"/>
      <c r="AP9" s="13"/>
      <c r="AQ9" s="13"/>
      <c r="AR9" s="13"/>
      <c r="AS9" s="13"/>
      <c r="AT9" s="10"/>
      <c r="AU9" s="10"/>
      <c r="AV9" s="10"/>
      <c r="AW9" s="10"/>
      <c r="AX9" s="10"/>
      <c r="AY9" s="10"/>
      <c r="AZ9" s="10"/>
    </row>
    <row r="10" spans="1:52" ht="32.25" customHeight="1" x14ac:dyDescent="0.5">
      <c r="A10" s="10"/>
      <c r="B10" s="10"/>
      <c r="C10" s="10"/>
      <c r="D10" s="10"/>
      <c r="U10" s="11"/>
      <c r="AD10" s="155"/>
      <c r="AE10" s="126"/>
      <c r="AF10" s="126"/>
      <c r="AG10" s="126"/>
      <c r="AH10" s="126"/>
      <c r="AI10" s="126"/>
      <c r="AJ10" s="126"/>
      <c r="AK10" s="106"/>
      <c r="AL10" s="12"/>
      <c r="AM10" s="12"/>
      <c r="AN10" s="12"/>
      <c r="AO10" s="12"/>
      <c r="AP10" s="12"/>
      <c r="AQ10" s="12"/>
      <c r="AR10" s="12"/>
      <c r="AS10" s="12"/>
      <c r="AT10" s="10"/>
      <c r="AU10" s="10"/>
      <c r="AV10" s="10"/>
      <c r="AW10" s="10"/>
      <c r="AX10" s="10"/>
      <c r="AY10" s="10"/>
      <c r="AZ10" s="10"/>
    </row>
    <row r="11" spans="1:52" ht="34.5" customHeight="1" x14ac:dyDescent="0.2">
      <c r="A11" s="170" t="s">
        <v>27</v>
      </c>
      <c r="B11" s="116"/>
      <c r="C11" s="15" t="s">
        <v>28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61" t="s">
        <v>31</v>
      </c>
      <c r="AS11" s="161" t="s">
        <v>32</v>
      </c>
      <c r="AT11" s="164" t="s">
        <v>33</v>
      </c>
      <c r="AU11" s="165" t="s">
        <v>34</v>
      </c>
      <c r="AV11" s="10"/>
      <c r="AW11" s="10"/>
      <c r="AX11" s="10"/>
      <c r="AY11" s="10"/>
      <c r="AZ11" s="10"/>
    </row>
    <row r="12" spans="1:52" ht="34.5" customHeight="1" x14ac:dyDescent="0.2">
      <c r="A12" s="114"/>
      <c r="B12" s="171"/>
      <c r="C12" s="18" t="s">
        <v>35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162"/>
      <c r="AS12" s="162"/>
      <c r="AT12" s="162"/>
      <c r="AU12" s="162"/>
      <c r="AV12" s="10"/>
      <c r="AW12" s="10"/>
      <c r="AX12" s="10"/>
      <c r="AY12" s="10"/>
      <c r="AZ12" s="10"/>
    </row>
    <row r="13" spans="1:52" ht="34.5" customHeight="1" x14ac:dyDescent="0.2">
      <c r="A13" s="114"/>
      <c r="B13" s="171"/>
      <c r="C13" s="21" t="s">
        <v>38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162"/>
      <c r="AS13" s="162"/>
      <c r="AT13" s="162"/>
      <c r="AU13" s="162"/>
      <c r="AV13" s="10"/>
      <c r="AW13" s="10"/>
      <c r="AX13" s="10"/>
      <c r="AY13" s="10"/>
      <c r="AZ13" s="10"/>
    </row>
    <row r="14" spans="1:52" ht="34.5" customHeight="1" x14ac:dyDescent="0.35">
      <c r="A14" s="117"/>
      <c r="B14" s="118"/>
      <c r="C14" s="18" t="s">
        <v>39</v>
      </c>
      <c r="D14" s="23">
        <v>1</v>
      </c>
      <c r="E14" s="23">
        <v>2</v>
      </c>
      <c r="F14" s="23">
        <v>3</v>
      </c>
      <c r="G14" s="23">
        <v>4</v>
      </c>
      <c r="H14" s="23">
        <v>5</v>
      </c>
      <c r="I14" s="23">
        <v>6</v>
      </c>
      <c r="J14" s="23">
        <v>7</v>
      </c>
      <c r="K14" s="23">
        <v>8</v>
      </c>
      <c r="L14" s="23">
        <v>9</v>
      </c>
      <c r="M14" s="23">
        <v>10</v>
      </c>
      <c r="N14" s="23">
        <v>11</v>
      </c>
      <c r="O14" s="23">
        <v>12</v>
      </c>
      <c r="P14" s="23">
        <v>13</v>
      </c>
      <c r="Q14" s="23">
        <v>14</v>
      </c>
      <c r="R14" s="23">
        <v>15</v>
      </c>
      <c r="S14" s="23">
        <v>16</v>
      </c>
      <c r="T14" s="23">
        <v>17</v>
      </c>
      <c r="U14" s="23">
        <v>18</v>
      </c>
      <c r="V14" s="23">
        <v>19</v>
      </c>
      <c r="W14" s="23">
        <v>20</v>
      </c>
      <c r="X14" s="23">
        <v>21</v>
      </c>
      <c r="Y14" s="23">
        <v>22</v>
      </c>
      <c r="Z14" s="23">
        <v>23</v>
      </c>
      <c r="AA14" s="23">
        <v>24</v>
      </c>
      <c r="AB14" s="23">
        <v>25</v>
      </c>
      <c r="AC14" s="23">
        <v>26</v>
      </c>
      <c r="AD14" s="23">
        <v>27</v>
      </c>
      <c r="AE14" s="23">
        <v>28</v>
      </c>
      <c r="AF14" s="23">
        <v>29</v>
      </c>
      <c r="AG14" s="23">
        <v>30</v>
      </c>
      <c r="AH14" s="23">
        <v>31</v>
      </c>
      <c r="AI14" s="23">
        <v>32</v>
      </c>
      <c r="AJ14" s="23">
        <v>33</v>
      </c>
      <c r="AK14" s="23">
        <v>34</v>
      </c>
      <c r="AL14" s="23">
        <v>35</v>
      </c>
      <c r="AM14" s="23">
        <v>36</v>
      </c>
      <c r="AN14" s="23">
        <v>37</v>
      </c>
      <c r="AO14" s="23">
        <v>38</v>
      </c>
      <c r="AP14" s="23">
        <v>39</v>
      </c>
      <c r="AQ14" s="23">
        <v>40</v>
      </c>
      <c r="AR14" s="163"/>
      <c r="AS14" s="163"/>
      <c r="AT14" s="163"/>
      <c r="AU14" s="163"/>
      <c r="AV14" s="10"/>
      <c r="AW14" s="10"/>
      <c r="AX14" s="10"/>
      <c r="AY14" s="10"/>
      <c r="AZ14" s="10"/>
    </row>
    <row r="15" spans="1:52" ht="30" customHeight="1" x14ac:dyDescent="0.2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168" t="s">
        <v>40</v>
      </c>
      <c r="R15" s="126"/>
      <c r="S15" s="126"/>
      <c r="T15" s="126"/>
      <c r="U15" s="126"/>
      <c r="V15" s="126"/>
      <c r="W15" s="126"/>
      <c r="X15" s="126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6"/>
      <c r="AR15" s="27"/>
      <c r="AS15" s="27"/>
      <c r="AT15" s="28"/>
      <c r="AU15" s="29"/>
      <c r="AV15" s="10"/>
      <c r="AW15" s="10"/>
      <c r="AX15" s="10"/>
      <c r="AY15" s="10"/>
      <c r="AZ15" s="10"/>
    </row>
    <row r="16" spans="1:52" ht="33.75" customHeight="1" x14ac:dyDescent="0.2">
      <c r="A16" s="128" t="s">
        <v>41</v>
      </c>
      <c r="B16" s="126"/>
      <c r="C16" s="127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2">
        <f t="shared" ref="AR16:AR50" si="0">SUM(D16:AQ16)</f>
        <v>0</v>
      </c>
      <c r="AS16" s="33">
        <v>25</v>
      </c>
      <c r="AT16" s="34">
        <f t="shared" ref="AT16:AT50" si="1">AR16*AS16</f>
        <v>0</v>
      </c>
      <c r="AU16" s="35" t="s">
        <v>42</v>
      </c>
      <c r="AV16" s="36"/>
      <c r="AW16" s="36"/>
      <c r="AX16" s="36"/>
      <c r="AY16" s="36"/>
      <c r="AZ16" s="36"/>
    </row>
    <row r="17" spans="1:52" ht="33.75" customHeight="1" x14ac:dyDescent="0.2">
      <c r="A17" s="125" t="s">
        <v>43</v>
      </c>
      <c r="B17" s="126"/>
      <c r="C17" s="127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2">
        <f t="shared" si="0"/>
        <v>0</v>
      </c>
      <c r="AS17" s="33">
        <v>25</v>
      </c>
      <c r="AT17" s="34">
        <f t="shared" si="1"/>
        <v>0</v>
      </c>
      <c r="AU17" s="35" t="s">
        <v>42</v>
      </c>
      <c r="AV17" s="36"/>
      <c r="AW17" s="36"/>
      <c r="AX17" s="36"/>
      <c r="AY17" s="36"/>
      <c r="AZ17" s="36"/>
    </row>
    <row r="18" spans="1:52" ht="33.75" customHeight="1" x14ac:dyDescent="0.2">
      <c r="A18" s="172" t="s">
        <v>44</v>
      </c>
      <c r="B18" s="126"/>
      <c r="C18" s="126"/>
      <c r="D18" s="66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2">
        <f t="shared" si="0"/>
        <v>0</v>
      </c>
      <c r="AS18" s="33">
        <v>20</v>
      </c>
      <c r="AT18" s="34">
        <f t="shared" si="1"/>
        <v>0</v>
      </c>
      <c r="AU18" s="35" t="s">
        <v>42</v>
      </c>
      <c r="AV18" s="36"/>
      <c r="AW18" s="36"/>
      <c r="AX18" s="36"/>
      <c r="AY18" s="36"/>
      <c r="AZ18" s="36"/>
    </row>
    <row r="19" spans="1:52" ht="33.75" customHeight="1" x14ac:dyDescent="0.2">
      <c r="A19" s="125" t="s">
        <v>45</v>
      </c>
      <c r="B19" s="126"/>
      <c r="C19" s="127"/>
      <c r="D19" s="62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2">
        <f t="shared" si="0"/>
        <v>0</v>
      </c>
      <c r="AS19" s="33">
        <v>60</v>
      </c>
      <c r="AT19" s="34">
        <f t="shared" si="1"/>
        <v>0</v>
      </c>
      <c r="AU19" s="35" t="s">
        <v>42</v>
      </c>
      <c r="AV19" s="36"/>
      <c r="AW19" s="36"/>
      <c r="AX19" s="36"/>
      <c r="AY19" s="36"/>
      <c r="AZ19" s="36"/>
    </row>
    <row r="20" spans="1:52" ht="33.75" customHeight="1" x14ac:dyDescent="0.2">
      <c r="A20" s="128" t="s">
        <v>46</v>
      </c>
      <c r="B20" s="126"/>
      <c r="C20" s="127"/>
      <c r="D20" s="66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2">
        <f t="shared" si="0"/>
        <v>0</v>
      </c>
      <c r="AS20" s="33">
        <v>31</v>
      </c>
      <c r="AT20" s="34">
        <f t="shared" si="1"/>
        <v>0</v>
      </c>
      <c r="AU20" s="35" t="s">
        <v>42</v>
      </c>
      <c r="AV20" s="36"/>
      <c r="AW20" s="36"/>
      <c r="AX20" s="36"/>
      <c r="AY20" s="36"/>
      <c r="AZ20" s="36"/>
    </row>
    <row r="21" spans="1:52" ht="33.75" customHeight="1" x14ac:dyDescent="0.2">
      <c r="A21" s="125" t="s">
        <v>47</v>
      </c>
      <c r="B21" s="126"/>
      <c r="C21" s="127"/>
      <c r="D21" s="62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2">
        <f t="shared" si="0"/>
        <v>0</v>
      </c>
      <c r="AS21" s="33">
        <v>330</v>
      </c>
      <c r="AT21" s="34">
        <f t="shared" si="1"/>
        <v>0</v>
      </c>
      <c r="AU21" s="35" t="s">
        <v>42</v>
      </c>
      <c r="AV21" s="36"/>
      <c r="AW21" s="36"/>
      <c r="AX21" s="36"/>
      <c r="AY21" s="36"/>
      <c r="AZ21" s="36"/>
    </row>
    <row r="22" spans="1:52" ht="33.75" customHeight="1" x14ac:dyDescent="0.2">
      <c r="A22" s="128" t="s">
        <v>48</v>
      </c>
      <c r="B22" s="126"/>
      <c r="C22" s="127"/>
      <c r="D22" s="66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2">
        <f t="shared" si="0"/>
        <v>0</v>
      </c>
      <c r="AS22" s="33">
        <v>250</v>
      </c>
      <c r="AT22" s="34">
        <f t="shared" si="1"/>
        <v>0</v>
      </c>
      <c r="AU22" s="35" t="s">
        <v>42</v>
      </c>
      <c r="AV22" s="36"/>
      <c r="AW22" s="36"/>
      <c r="AX22" s="36"/>
      <c r="AY22" s="36"/>
      <c r="AZ22" s="36"/>
    </row>
    <row r="23" spans="1:52" ht="33.75" customHeight="1" x14ac:dyDescent="0.2">
      <c r="A23" s="125" t="s">
        <v>49</v>
      </c>
      <c r="B23" s="126"/>
      <c r="C23" s="127"/>
      <c r="D23" s="62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2">
        <f t="shared" si="0"/>
        <v>0</v>
      </c>
      <c r="AS23" s="33">
        <v>50</v>
      </c>
      <c r="AT23" s="34">
        <f t="shared" si="1"/>
        <v>0</v>
      </c>
      <c r="AU23" s="35" t="s">
        <v>42</v>
      </c>
      <c r="AV23" s="36"/>
      <c r="AW23" s="36"/>
      <c r="AX23" s="36"/>
      <c r="AY23" s="36"/>
      <c r="AZ23" s="36"/>
    </row>
    <row r="24" spans="1:52" ht="33.75" customHeight="1" x14ac:dyDescent="0.2">
      <c r="A24" s="128" t="s">
        <v>50</v>
      </c>
      <c r="B24" s="126"/>
      <c r="C24" s="127"/>
      <c r="D24" s="66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2">
        <f t="shared" si="0"/>
        <v>0</v>
      </c>
      <c r="AS24" s="33">
        <v>68</v>
      </c>
      <c r="AT24" s="34">
        <f t="shared" si="1"/>
        <v>0</v>
      </c>
      <c r="AU24" s="35" t="s">
        <v>42</v>
      </c>
      <c r="AV24" s="36"/>
      <c r="AW24" s="36"/>
      <c r="AX24" s="36"/>
      <c r="AY24" s="36"/>
      <c r="AZ24" s="36"/>
    </row>
    <row r="25" spans="1:52" ht="33.75" customHeight="1" x14ac:dyDescent="0.2">
      <c r="A25" s="125" t="s">
        <v>51</v>
      </c>
      <c r="B25" s="126"/>
      <c r="C25" s="127"/>
      <c r="D25" s="62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2">
        <f t="shared" si="0"/>
        <v>0</v>
      </c>
      <c r="AS25" s="33">
        <v>90</v>
      </c>
      <c r="AT25" s="34">
        <f t="shared" si="1"/>
        <v>0</v>
      </c>
      <c r="AU25" s="35" t="s">
        <v>42</v>
      </c>
      <c r="AV25" s="36"/>
      <c r="AW25" s="36"/>
      <c r="AX25" s="36"/>
      <c r="AY25" s="36"/>
      <c r="AZ25" s="36"/>
    </row>
    <row r="26" spans="1:52" ht="33.75" customHeight="1" x14ac:dyDescent="0.2">
      <c r="A26" s="128" t="s">
        <v>52</v>
      </c>
      <c r="B26" s="126"/>
      <c r="C26" s="127"/>
      <c r="D26" s="66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2">
        <f t="shared" si="0"/>
        <v>0</v>
      </c>
      <c r="AS26" s="33">
        <v>82</v>
      </c>
      <c r="AT26" s="34">
        <f t="shared" si="1"/>
        <v>0</v>
      </c>
      <c r="AU26" s="35" t="s">
        <v>42</v>
      </c>
      <c r="AV26" s="36"/>
      <c r="AW26" s="36"/>
      <c r="AX26" s="36"/>
      <c r="AY26" s="36"/>
      <c r="AZ26" s="36"/>
    </row>
    <row r="27" spans="1:52" ht="33.75" customHeight="1" x14ac:dyDescent="0.2">
      <c r="A27" s="125" t="s">
        <v>53</v>
      </c>
      <c r="B27" s="126"/>
      <c r="C27" s="127"/>
      <c r="D27" s="62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2">
        <f t="shared" si="0"/>
        <v>0</v>
      </c>
      <c r="AS27" s="33">
        <v>95</v>
      </c>
      <c r="AT27" s="34">
        <f t="shared" si="1"/>
        <v>0</v>
      </c>
      <c r="AU27" s="35" t="s">
        <v>42</v>
      </c>
      <c r="AV27" s="36"/>
      <c r="AW27" s="36"/>
      <c r="AX27" s="36"/>
      <c r="AY27" s="36"/>
      <c r="AZ27" s="36"/>
    </row>
    <row r="28" spans="1:52" ht="33.75" customHeight="1" x14ac:dyDescent="0.2">
      <c r="A28" s="128" t="s">
        <v>54</v>
      </c>
      <c r="B28" s="126"/>
      <c r="C28" s="127"/>
      <c r="D28" s="66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2">
        <f t="shared" si="0"/>
        <v>0</v>
      </c>
      <c r="AS28" s="33">
        <v>10</v>
      </c>
      <c r="AT28" s="34">
        <f t="shared" si="1"/>
        <v>0</v>
      </c>
      <c r="AU28" s="35" t="s">
        <v>42</v>
      </c>
      <c r="AV28" s="36"/>
      <c r="AW28" s="36"/>
      <c r="AX28" s="36"/>
      <c r="AY28" s="36"/>
      <c r="AZ28" s="36"/>
    </row>
    <row r="29" spans="1:52" ht="33.75" customHeight="1" x14ac:dyDescent="0.2">
      <c r="A29" s="125" t="s">
        <v>55</v>
      </c>
      <c r="B29" s="126"/>
      <c r="C29" s="127"/>
      <c r="D29" s="62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2">
        <f t="shared" si="0"/>
        <v>0</v>
      </c>
      <c r="AS29" s="33">
        <v>25</v>
      </c>
      <c r="AT29" s="34">
        <f t="shared" si="1"/>
        <v>0</v>
      </c>
      <c r="AU29" s="35" t="s">
        <v>42</v>
      </c>
      <c r="AV29" s="36"/>
      <c r="AW29" s="36"/>
      <c r="AX29" s="36"/>
      <c r="AY29" s="36"/>
      <c r="AZ29" s="36"/>
    </row>
    <row r="30" spans="1:52" ht="33.75" customHeight="1" x14ac:dyDescent="0.2">
      <c r="A30" s="128" t="s">
        <v>56</v>
      </c>
      <c r="B30" s="126"/>
      <c r="C30" s="127"/>
      <c r="D30" s="66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2">
        <f t="shared" si="0"/>
        <v>0</v>
      </c>
      <c r="AS30" s="33">
        <v>1481</v>
      </c>
      <c r="AT30" s="34">
        <f t="shared" si="1"/>
        <v>0</v>
      </c>
      <c r="AU30" s="35" t="s">
        <v>42</v>
      </c>
      <c r="AV30" s="36"/>
      <c r="AW30" s="36"/>
      <c r="AX30" s="36"/>
      <c r="AY30" s="36"/>
      <c r="AZ30" s="36"/>
    </row>
    <row r="31" spans="1:52" ht="33.75" customHeight="1" x14ac:dyDescent="0.2">
      <c r="A31" s="125" t="s">
        <v>57</v>
      </c>
      <c r="B31" s="126"/>
      <c r="C31" s="127"/>
      <c r="D31" s="62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2">
        <f t="shared" si="0"/>
        <v>0</v>
      </c>
      <c r="AS31" s="33">
        <v>2180</v>
      </c>
      <c r="AT31" s="34">
        <f t="shared" si="1"/>
        <v>0</v>
      </c>
      <c r="AU31" s="35" t="s">
        <v>42</v>
      </c>
      <c r="AV31" s="36"/>
      <c r="AW31" s="36"/>
      <c r="AX31" s="36"/>
      <c r="AY31" s="36"/>
      <c r="AZ31" s="36"/>
    </row>
    <row r="32" spans="1:52" ht="33.75" customHeight="1" x14ac:dyDescent="0.2">
      <c r="A32" s="128" t="s">
        <v>58</v>
      </c>
      <c r="B32" s="126"/>
      <c r="C32" s="127"/>
      <c r="D32" s="66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41">
        <f t="shared" si="0"/>
        <v>0</v>
      </c>
      <c r="AS32" s="42">
        <v>250</v>
      </c>
      <c r="AT32" s="34">
        <f t="shared" si="1"/>
        <v>0</v>
      </c>
      <c r="AU32" s="35" t="s">
        <v>42</v>
      </c>
      <c r="AV32" s="43"/>
      <c r="AW32" s="43"/>
      <c r="AX32" s="43"/>
      <c r="AY32" s="43"/>
      <c r="AZ32" s="43"/>
    </row>
    <row r="33" spans="1:52" ht="33.75" customHeight="1" x14ac:dyDescent="0.2">
      <c r="A33" s="125" t="s">
        <v>59</v>
      </c>
      <c r="B33" s="126"/>
      <c r="C33" s="127"/>
      <c r="D33" s="62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2">
        <f t="shared" si="0"/>
        <v>0</v>
      </c>
      <c r="AS33" s="33">
        <v>355</v>
      </c>
      <c r="AT33" s="34">
        <f t="shared" si="1"/>
        <v>0</v>
      </c>
      <c r="AU33" s="35" t="s">
        <v>42</v>
      </c>
      <c r="AV33" s="36"/>
      <c r="AW33" s="36"/>
      <c r="AX33" s="36"/>
      <c r="AY33" s="36"/>
      <c r="AZ33" s="36"/>
    </row>
    <row r="34" spans="1:52" ht="33.75" customHeight="1" x14ac:dyDescent="0.2">
      <c r="A34" s="128" t="s">
        <v>60</v>
      </c>
      <c r="B34" s="126"/>
      <c r="C34" s="127"/>
      <c r="D34" s="66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2">
        <f t="shared" si="0"/>
        <v>0</v>
      </c>
      <c r="AS34" s="33">
        <v>150</v>
      </c>
      <c r="AT34" s="34">
        <f t="shared" si="1"/>
        <v>0</v>
      </c>
      <c r="AU34" s="35" t="s">
        <v>42</v>
      </c>
      <c r="AV34" s="36"/>
      <c r="AW34" s="36"/>
      <c r="AX34" s="36"/>
      <c r="AY34" s="36"/>
      <c r="AZ34" s="36"/>
    </row>
    <row r="35" spans="1:52" ht="33.75" customHeight="1" x14ac:dyDescent="0.2">
      <c r="A35" s="125" t="s">
        <v>61</v>
      </c>
      <c r="B35" s="126"/>
      <c r="C35" s="127"/>
      <c r="D35" s="62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2">
        <f t="shared" si="0"/>
        <v>0</v>
      </c>
      <c r="AS35" s="33">
        <v>350</v>
      </c>
      <c r="AT35" s="34">
        <f t="shared" si="1"/>
        <v>0</v>
      </c>
      <c r="AU35" s="35" t="s">
        <v>42</v>
      </c>
      <c r="AV35" s="36"/>
      <c r="AW35" s="36"/>
      <c r="AX35" s="36"/>
      <c r="AY35" s="36"/>
      <c r="AZ35" s="36"/>
    </row>
    <row r="36" spans="1:52" ht="33.75" customHeight="1" x14ac:dyDescent="0.2">
      <c r="A36" s="129" t="s">
        <v>62</v>
      </c>
      <c r="B36" s="126"/>
      <c r="C36" s="127"/>
      <c r="D36" s="99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32">
        <f t="shared" si="0"/>
        <v>0</v>
      </c>
      <c r="AS36" s="33">
        <v>395</v>
      </c>
      <c r="AT36" s="34">
        <f t="shared" si="1"/>
        <v>0</v>
      </c>
      <c r="AU36" s="35" t="s">
        <v>42</v>
      </c>
      <c r="AV36" s="36"/>
      <c r="AW36" s="36"/>
      <c r="AX36" s="36"/>
      <c r="AY36" s="36"/>
      <c r="AZ36" s="36"/>
    </row>
    <row r="37" spans="1:52" ht="33.75" customHeight="1" x14ac:dyDescent="0.2">
      <c r="A37" s="130" t="s">
        <v>63</v>
      </c>
      <c r="B37" s="126"/>
      <c r="C37" s="127"/>
      <c r="D37" s="100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32">
        <f t="shared" si="0"/>
        <v>0</v>
      </c>
      <c r="AS37" s="33">
        <v>440</v>
      </c>
      <c r="AT37" s="34">
        <f t="shared" si="1"/>
        <v>0</v>
      </c>
      <c r="AU37" s="35" t="s">
        <v>42</v>
      </c>
      <c r="AV37" s="36"/>
      <c r="AW37" s="36"/>
      <c r="AX37" s="36"/>
      <c r="AY37" s="36"/>
      <c r="AZ37" s="36"/>
    </row>
    <row r="38" spans="1:52" ht="33.75" customHeight="1" x14ac:dyDescent="0.2">
      <c r="A38" s="131" t="s">
        <v>64</v>
      </c>
      <c r="B38" s="126"/>
      <c r="C38" s="127"/>
      <c r="D38" s="51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51"/>
      <c r="AR38" s="32">
        <f t="shared" si="0"/>
        <v>0</v>
      </c>
      <c r="AS38" s="33">
        <v>550</v>
      </c>
      <c r="AT38" s="34">
        <f t="shared" si="1"/>
        <v>0</v>
      </c>
      <c r="AU38" s="35" t="s">
        <v>42</v>
      </c>
      <c r="AV38" s="36"/>
      <c r="AW38" s="36"/>
      <c r="AX38" s="36"/>
      <c r="AY38" s="36"/>
      <c r="AZ38" s="36"/>
    </row>
    <row r="39" spans="1:52" ht="33.75" customHeight="1" x14ac:dyDescent="0.2">
      <c r="A39" s="132" t="s">
        <v>65</v>
      </c>
      <c r="B39" s="126"/>
      <c r="C39" s="106"/>
      <c r="D39" s="54"/>
      <c r="E39" s="53"/>
      <c r="F39" s="53"/>
      <c r="G39" s="53"/>
      <c r="H39" s="53"/>
      <c r="I39" s="54"/>
      <c r="J39" s="54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5">
        <f t="shared" si="0"/>
        <v>0</v>
      </c>
      <c r="AS39" s="33">
        <v>600</v>
      </c>
      <c r="AT39" s="34">
        <f t="shared" si="1"/>
        <v>0</v>
      </c>
      <c r="AU39" s="35" t="s">
        <v>42</v>
      </c>
      <c r="AV39" s="36"/>
      <c r="AW39" s="36"/>
      <c r="AX39" s="36"/>
      <c r="AY39" s="36"/>
      <c r="AZ39" s="36"/>
    </row>
    <row r="40" spans="1:52" ht="33.75" customHeight="1" x14ac:dyDescent="0.2">
      <c r="A40" s="133" t="s">
        <v>66</v>
      </c>
      <c r="B40" s="126"/>
      <c r="C40" s="127"/>
      <c r="D40" s="101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32">
        <f t="shared" si="0"/>
        <v>0</v>
      </c>
      <c r="AS40" s="33">
        <v>650</v>
      </c>
      <c r="AT40" s="34">
        <f t="shared" si="1"/>
        <v>0</v>
      </c>
      <c r="AU40" s="35" t="s">
        <v>42</v>
      </c>
      <c r="AV40" s="36"/>
      <c r="AW40" s="36"/>
      <c r="AX40" s="36"/>
      <c r="AY40" s="36"/>
      <c r="AZ40" s="36"/>
    </row>
    <row r="41" spans="1:52" ht="33.75" customHeight="1" x14ac:dyDescent="0.2">
      <c r="A41" s="134" t="s">
        <v>67</v>
      </c>
      <c r="B41" s="126"/>
      <c r="C41" s="106"/>
      <c r="D41" s="102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5">
        <f t="shared" si="0"/>
        <v>0</v>
      </c>
      <c r="AS41" s="33">
        <v>700</v>
      </c>
      <c r="AT41" s="34">
        <f t="shared" si="1"/>
        <v>0</v>
      </c>
      <c r="AU41" s="35" t="s">
        <v>42</v>
      </c>
      <c r="AV41" s="36"/>
      <c r="AW41" s="36"/>
      <c r="AX41" s="36"/>
      <c r="AY41" s="36"/>
      <c r="AZ41" s="36"/>
    </row>
    <row r="42" spans="1:52" ht="33.75" customHeight="1" x14ac:dyDescent="0.2">
      <c r="A42" s="135" t="s">
        <v>68</v>
      </c>
      <c r="B42" s="126"/>
      <c r="C42" s="106"/>
      <c r="D42" s="103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55">
        <f t="shared" si="0"/>
        <v>0</v>
      </c>
      <c r="AS42" s="33">
        <v>825</v>
      </c>
      <c r="AT42" s="34">
        <f t="shared" si="1"/>
        <v>0</v>
      </c>
      <c r="AU42" s="35" t="s">
        <v>42</v>
      </c>
      <c r="AV42" s="36"/>
      <c r="AW42" s="36"/>
      <c r="AX42" s="36"/>
      <c r="AY42" s="36"/>
      <c r="AZ42" s="36"/>
    </row>
    <row r="43" spans="1:52" ht="33.75" customHeight="1" x14ac:dyDescent="0.2">
      <c r="A43" s="136" t="s">
        <v>69</v>
      </c>
      <c r="B43" s="126"/>
      <c r="C43" s="127"/>
      <c r="D43" s="62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62"/>
      <c r="AR43" s="55">
        <f t="shared" si="0"/>
        <v>0</v>
      </c>
      <c r="AS43" s="33">
        <v>300</v>
      </c>
      <c r="AT43" s="34">
        <f t="shared" si="1"/>
        <v>0</v>
      </c>
      <c r="AU43" s="35" t="s">
        <v>42</v>
      </c>
      <c r="AV43" s="36"/>
      <c r="AW43" s="36"/>
      <c r="AX43" s="36"/>
      <c r="AY43" s="36"/>
      <c r="AZ43" s="36"/>
    </row>
    <row r="44" spans="1:52" ht="42" customHeight="1" x14ac:dyDescent="0.2">
      <c r="A44" s="137" t="s">
        <v>70</v>
      </c>
      <c r="B44" s="109"/>
      <c r="C44" s="109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32">
        <f t="shared" si="0"/>
        <v>0</v>
      </c>
      <c r="AS44" s="65">
        <v>31</v>
      </c>
      <c r="AT44" s="34">
        <f t="shared" si="1"/>
        <v>0</v>
      </c>
      <c r="AU44" s="35" t="s">
        <v>42</v>
      </c>
      <c r="AV44" s="36"/>
      <c r="AW44" s="36"/>
      <c r="AX44" s="36"/>
      <c r="AY44" s="36"/>
      <c r="AZ44" s="36"/>
    </row>
    <row r="45" spans="1:52" ht="33.75" customHeight="1" x14ac:dyDescent="0.2">
      <c r="A45" s="136" t="s">
        <v>71</v>
      </c>
      <c r="B45" s="126"/>
      <c r="C45" s="127"/>
      <c r="D45" s="62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62"/>
      <c r="AR45" s="32">
        <f t="shared" si="0"/>
        <v>0</v>
      </c>
      <c r="AS45" s="65">
        <v>15</v>
      </c>
      <c r="AT45" s="34">
        <f t="shared" si="1"/>
        <v>0</v>
      </c>
      <c r="AU45" s="35" t="s">
        <v>42</v>
      </c>
      <c r="AV45" s="36"/>
      <c r="AW45" s="36"/>
      <c r="AX45" s="36"/>
      <c r="AY45" s="36"/>
      <c r="AZ45" s="36"/>
    </row>
    <row r="46" spans="1:52" ht="33.75" customHeight="1" x14ac:dyDescent="0.2">
      <c r="A46" s="138" t="s">
        <v>72</v>
      </c>
      <c r="B46" s="126"/>
      <c r="C46" s="127"/>
      <c r="D46" s="66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66"/>
      <c r="AJ46" s="31"/>
      <c r="AK46" s="31"/>
      <c r="AL46" s="31"/>
      <c r="AM46" s="31"/>
      <c r="AN46" s="31"/>
      <c r="AO46" s="31"/>
      <c r="AP46" s="31"/>
      <c r="AQ46" s="31"/>
      <c r="AR46" s="32">
        <f t="shared" si="0"/>
        <v>0</v>
      </c>
      <c r="AS46" s="65">
        <v>25</v>
      </c>
      <c r="AT46" s="34">
        <f t="shared" si="1"/>
        <v>0</v>
      </c>
      <c r="AU46" s="35" t="s">
        <v>42</v>
      </c>
      <c r="AV46" s="36"/>
      <c r="AW46" s="36"/>
      <c r="AX46" s="36"/>
      <c r="AY46" s="36"/>
      <c r="AZ46" s="36"/>
    </row>
    <row r="47" spans="1:52" ht="33.75" customHeight="1" x14ac:dyDescent="0.2">
      <c r="A47" s="136" t="s">
        <v>73</v>
      </c>
      <c r="B47" s="126"/>
      <c r="C47" s="127"/>
      <c r="D47" s="62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2">
        <f t="shared" si="0"/>
        <v>0</v>
      </c>
      <c r="AS47" s="65">
        <v>150</v>
      </c>
      <c r="AT47" s="34">
        <f t="shared" si="1"/>
        <v>0</v>
      </c>
      <c r="AU47" s="35" t="s">
        <v>42</v>
      </c>
      <c r="AV47" s="36"/>
      <c r="AW47" s="36"/>
      <c r="AX47" s="36"/>
      <c r="AY47" s="36"/>
      <c r="AZ47" s="36"/>
    </row>
    <row r="48" spans="1:52" ht="33.75" customHeight="1" x14ac:dyDescent="0.2">
      <c r="A48" s="138" t="s">
        <v>74</v>
      </c>
      <c r="B48" s="126"/>
      <c r="C48" s="127"/>
      <c r="D48" s="66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2">
        <f t="shared" si="0"/>
        <v>0</v>
      </c>
      <c r="AS48" s="65">
        <v>1465</v>
      </c>
      <c r="AT48" s="34">
        <f t="shared" si="1"/>
        <v>0</v>
      </c>
      <c r="AU48" s="35" t="s">
        <v>42</v>
      </c>
      <c r="AV48" s="36"/>
      <c r="AW48" s="36"/>
      <c r="AX48" s="36"/>
      <c r="AY48" s="36"/>
      <c r="AZ48" s="36"/>
    </row>
    <row r="49" spans="1:52" ht="33.75" customHeight="1" x14ac:dyDescent="0.2">
      <c r="A49" s="136" t="s">
        <v>75</v>
      </c>
      <c r="B49" s="126"/>
      <c r="C49" s="127"/>
      <c r="D49" s="62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2">
        <f t="shared" si="0"/>
        <v>0</v>
      </c>
      <c r="AS49" s="65">
        <v>1565</v>
      </c>
      <c r="AT49" s="34">
        <f t="shared" si="1"/>
        <v>0</v>
      </c>
      <c r="AU49" s="35" t="s">
        <v>42</v>
      </c>
      <c r="AV49" s="36"/>
      <c r="AW49" s="36"/>
      <c r="AX49" s="36"/>
      <c r="AY49" s="36"/>
      <c r="AZ49" s="36"/>
    </row>
    <row r="50" spans="1:52" ht="33.75" customHeight="1" x14ac:dyDescent="0.2">
      <c r="A50" s="140" t="s">
        <v>76</v>
      </c>
      <c r="B50" s="126"/>
      <c r="C50" s="106"/>
      <c r="D50" s="104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55">
        <f t="shared" si="0"/>
        <v>0</v>
      </c>
      <c r="AS50" s="65">
        <v>1885</v>
      </c>
      <c r="AT50" s="34">
        <f t="shared" si="1"/>
        <v>0</v>
      </c>
      <c r="AU50" s="35" t="s">
        <v>42</v>
      </c>
      <c r="AV50" s="36"/>
      <c r="AW50" s="36"/>
      <c r="AX50" s="36"/>
      <c r="AY50" s="36"/>
      <c r="AZ50" s="36"/>
    </row>
    <row r="51" spans="1:52" ht="33.75" customHeight="1" x14ac:dyDescent="0.2">
      <c r="A51" s="69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139"/>
      <c r="R51" s="126"/>
      <c r="S51" s="126"/>
      <c r="T51" s="126"/>
      <c r="U51" s="126"/>
      <c r="V51" s="126"/>
      <c r="W51" s="126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2"/>
      <c r="AR51" s="73"/>
      <c r="AS51" s="74"/>
      <c r="AT51" s="73"/>
      <c r="AU51" s="75"/>
      <c r="AV51" s="36"/>
      <c r="AW51" s="36"/>
      <c r="AX51" s="36"/>
      <c r="AY51" s="36"/>
      <c r="AZ51" s="36"/>
    </row>
    <row r="52" spans="1:52" ht="33.75" customHeight="1" x14ac:dyDescent="0.2">
      <c r="A52" s="141" t="s">
        <v>77</v>
      </c>
      <c r="B52" s="126"/>
      <c r="C52" s="126"/>
      <c r="D52" s="62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2">
        <f t="shared" ref="AR52:AR63" si="2">SUM(D52:AQ52)</f>
        <v>0</v>
      </c>
      <c r="AS52" s="33">
        <v>360</v>
      </c>
      <c r="AT52" s="76" t="s">
        <v>42</v>
      </c>
      <c r="AU52" s="77">
        <f t="shared" ref="AU52:AU63" si="3">AR52*AS52</f>
        <v>0</v>
      </c>
      <c r="AV52" s="36"/>
      <c r="AW52" s="36"/>
      <c r="AX52" s="36"/>
      <c r="AY52" s="36"/>
      <c r="AZ52" s="36"/>
    </row>
    <row r="53" spans="1:52" ht="52.5" customHeight="1" x14ac:dyDescent="0.2">
      <c r="A53" s="142" t="s">
        <v>78</v>
      </c>
      <c r="B53" s="126"/>
      <c r="C53" s="127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2">
        <f t="shared" si="2"/>
        <v>0</v>
      </c>
      <c r="AS53" s="33">
        <v>315</v>
      </c>
      <c r="AT53" s="76" t="s">
        <v>42</v>
      </c>
      <c r="AU53" s="77">
        <f t="shared" si="3"/>
        <v>0</v>
      </c>
      <c r="AV53" s="36"/>
      <c r="AW53" s="36"/>
      <c r="AX53" s="36"/>
      <c r="AY53" s="36"/>
      <c r="AZ53" s="36"/>
    </row>
    <row r="54" spans="1:52" ht="52.5" customHeight="1" x14ac:dyDescent="0.2">
      <c r="A54" s="143" t="s">
        <v>79</v>
      </c>
      <c r="B54" s="126"/>
      <c r="C54" s="127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2">
        <f t="shared" si="2"/>
        <v>0</v>
      </c>
      <c r="AS54" s="33">
        <v>365</v>
      </c>
      <c r="AT54" s="76" t="s">
        <v>42</v>
      </c>
      <c r="AU54" s="77">
        <f t="shared" si="3"/>
        <v>0</v>
      </c>
      <c r="AV54" s="36"/>
      <c r="AW54" s="36"/>
      <c r="AX54" s="36"/>
      <c r="AY54" s="36"/>
      <c r="AZ54" s="36"/>
    </row>
    <row r="55" spans="1:52" ht="33.75" customHeight="1" x14ac:dyDescent="0.2">
      <c r="A55" s="144" t="s">
        <v>80</v>
      </c>
      <c r="B55" s="126"/>
      <c r="C55" s="127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2">
        <f t="shared" si="2"/>
        <v>0</v>
      </c>
      <c r="AS55" s="33">
        <v>300</v>
      </c>
      <c r="AT55" s="76" t="s">
        <v>42</v>
      </c>
      <c r="AU55" s="77">
        <f t="shared" si="3"/>
        <v>0</v>
      </c>
      <c r="AV55" s="36"/>
      <c r="AW55" s="36"/>
      <c r="AX55" s="36"/>
      <c r="AY55" s="36"/>
      <c r="AZ55" s="36"/>
    </row>
    <row r="56" spans="1:52" ht="33.75" customHeight="1" x14ac:dyDescent="0.2">
      <c r="A56" s="141" t="s">
        <v>81</v>
      </c>
      <c r="B56" s="126"/>
      <c r="C56" s="127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62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62"/>
      <c r="AR56" s="32">
        <f t="shared" si="2"/>
        <v>0</v>
      </c>
      <c r="AS56" s="65">
        <v>140</v>
      </c>
      <c r="AT56" s="76" t="s">
        <v>42</v>
      </c>
      <c r="AU56" s="77">
        <f t="shared" si="3"/>
        <v>0</v>
      </c>
      <c r="AV56" s="36"/>
      <c r="AW56" s="36"/>
      <c r="AX56" s="36"/>
      <c r="AY56" s="36"/>
      <c r="AZ56" s="36"/>
    </row>
    <row r="57" spans="1:52" ht="33.75" customHeight="1" x14ac:dyDescent="0.2">
      <c r="A57" s="144" t="s">
        <v>82</v>
      </c>
      <c r="B57" s="126"/>
      <c r="C57" s="127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2">
        <f t="shared" si="2"/>
        <v>0</v>
      </c>
      <c r="AS57" s="65">
        <v>120</v>
      </c>
      <c r="AT57" s="76" t="s">
        <v>42</v>
      </c>
      <c r="AU57" s="77">
        <f t="shared" si="3"/>
        <v>0</v>
      </c>
      <c r="AV57" s="36"/>
      <c r="AW57" s="36"/>
      <c r="AX57" s="36"/>
      <c r="AY57" s="36"/>
      <c r="AZ57" s="36"/>
    </row>
    <row r="58" spans="1:52" ht="33.75" customHeight="1" x14ac:dyDescent="0.2">
      <c r="A58" s="141" t="s">
        <v>83</v>
      </c>
      <c r="B58" s="126"/>
      <c r="C58" s="127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2">
        <f t="shared" si="2"/>
        <v>0</v>
      </c>
      <c r="AS58" s="65">
        <v>110</v>
      </c>
      <c r="AT58" s="76" t="s">
        <v>42</v>
      </c>
      <c r="AU58" s="77">
        <f t="shared" si="3"/>
        <v>0</v>
      </c>
      <c r="AV58" s="36"/>
      <c r="AW58" s="36"/>
      <c r="AX58" s="36"/>
      <c r="AY58" s="36"/>
      <c r="AZ58" s="36"/>
    </row>
    <row r="59" spans="1:52" ht="33.75" customHeight="1" x14ac:dyDescent="0.2">
      <c r="A59" s="144" t="s">
        <v>84</v>
      </c>
      <c r="B59" s="126"/>
      <c r="C59" s="127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66"/>
      <c r="AB59" s="66"/>
      <c r="AC59" s="66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2">
        <f t="shared" si="2"/>
        <v>0</v>
      </c>
      <c r="AS59" s="65">
        <v>300</v>
      </c>
      <c r="AT59" s="76" t="s">
        <v>42</v>
      </c>
      <c r="AU59" s="77">
        <f t="shared" si="3"/>
        <v>0</v>
      </c>
      <c r="AV59" s="36"/>
      <c r="AW59" s="36"/>
      <c r="AX59" s="36"/>
      <c r="AY59" s="36"/>
      <c r="AZ59" s="36"/>
    </row>
    <row r="60" spans="1:52" ht="33.75" customHeight="1" x14ac:dyDescent="0.2">
      <c r="A60" s="141" t="s">
        <v>85</v>
      </c>
      <c r="B60" s="126"/>
      <c r="C60" s="127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62"/>
      <c r="AB60" s="62"/>
      <c r="AC60" s="62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2">
        <f t="shared" si="2"/>
        <v>0</v>
      </c>
      <c r="AS60" s="65">
        <v>400</v>
      </c>
      <c r="AT60" s="76" t="s">
        <v>42</v>
      </c>
      <c r="AU60" s="77">
        <f t="shared" si="3"/>
        <v>0</v>
      </c>
      <c r="AV60" s="36"/>
      <c r="AW60" s="36"/>
      <c r="AX60" s="36"/>
      <c r="AY60" s="36"/>
      <c r="AZ60" s="36"/>
    </row>
    <row r="61" spans="1:52" ht="57" customHeight="1" x14ac:dyDescent="0.2">
      <c r="A61" s="149" t="s">
        <v>86</v>
      </c>
      <c r="B61" s="126"/>
      <c r="C61" s="126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66"/>
      <c r="AK61" s="31"/>
      <c r="AL61" s="31"/>
      <c r="AM61" s="31"/>
      <c r="AN61" s="31"/>
      <c r="AO61" s="31"/>
      <c r="AP61" s="31"/>
      <c r="AQ61" s="31"/>
      <c r="AR61" s="32">
        <f t="shared" si="2"/>
        <v>0</v>
      </c>
      <c r="AS61" s="33">
        <v>355</v>
      </c>
      <c r="AT61" s="76" t="s">
        <v>42</v>
      </c>
      <c r="AU61" s="77">
        <f t="shared" si="3"/>
        <v>0</v>
      </c>
      <c r="AV61" s="36"/>
      <c r="AW61" s="36"/>
      <c r="AX61" s="36"/>
      <c r="AY61" s="36"/>
      <c r="AZ61" s="36"/>
    </row>
    <row r="62" spans="1:52" ht="57" customHeight="1" x14ac:dyDescent="0.2">
      <c r="A62" s="150" t="s">
        <v>87</v>
      </c>
      <c r="B62" s="126"/>
      <c r="C62" s="126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62"/>
      <c r="AK62" s="38"/>
      <c r="AL62" s="38"/>
      <c r="AM62" s="38"/>
      <c r="AN62" s="38"/>
      <c r="AO62" s="38"/>
      <c r="AP62" s="38"/>
      <c r="AQ62" s="38"/>
      <c r="AR62" s="32">
        <f t="shared" si="2"/>
        <v>0</v>
      </c>
      <c r="AS62" s="33">
        <v>150</v>
      </c>
      <c r="AT62" s="76" t="s">
        <v>42</v>
      </c>
      <c r="AU62" s="77">
        <f t="shared" si="3"/>
        <v>0</v>
      </c>
      <c r="AV62" s="36"/>
      <c r="AW62" s="36"/>
      <c r="AX62" s="36"/>
      <c r="AY62" s="36"/>
      <c r="AZ62" s="36"/>
    </row>
    <row r="63" spans="1:52" ht="33.75" customHeight="1" x14ac:dyDescent="0.2">
      <c r="A63" s="144" t="s">
        <v>88</v>
      </c>
      <c r="B63" s="126"/>
      <c r="C63" s="127"/>
      <c r="D63" s="66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66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66"/>
      <c r="AR63" s="32">
        <f t="shared" si="2"/>
        <v>0</v>
      </c>
      <c r="AS63" s="33">
        <v>480</v>
      </c>
      <c r="AT63" s="76" t="s">
        <v>42</v>
      </c>
      <c r="AU63" s="77">
        <f t="shared" si="3"/>
        <v>0</v>
      </c>
      <c r="AV63" s="36"/>
      <c r="AW63" s="36"/>
      <c r="AX63" s="36"/>
      <c r="AY63" s="36"/>
      <c r="AZ63" s="36"/>
    </row>
    <row r="64" spans="1:52" ht="15.75" customHeight="1" x14ac:dyDescent="0.2"/>
    <row r="65" spans="1:52" ht="34.5" customHeight="1" x14ac:dyDescent="0.4">
      <c r="A65" s="151"/>
      <c r="B65" s="146"/>
      <c r="C65" s="146"/>
      <c r="D65" s="78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145" t="s">
        <v>89</v>
      </c>
      <c r="AN65" s="146"/>
      <c r="AO65" s="146"/>
      <c r="AP65" s="146"/>
      <c r="AQ65" s="147"/>
      <c r="AR65" s="80"/>
      <c r="AS65" s="80"/>
      <c r="AT65" s="81">
        <f>SUM(AT16:AT50)</f>
        <v>0</v>
      </c>
      <c r="AU65" s="82"/>
      <c r="AV65" s="10"/>
      <c r="AW65" s="10"/>
      <c r="AX65" s="10"/>
      <c r="AY65" s="10"/>
      <c r="AZ65" s="10"/>
    </row>
    <row r="66" spans="1:52" ht="34.5" customHeight="1" x14ac:dyDescent="0.4">
      <c r="A66" s="83"/>
      <c r="B66" s="78"/>
      <c r="C66" s="78"/>
      <c r="D66" s="78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145" t="s">
        <v>90</v>
      </c>
      <c r="AN66" s="146"/>
      <c r="AO66" s="146"/>
      <c r="AP66" s="146"/>
      <c r="AQ66" s="147"/>
      <c r="AR66" s="80"/>
      <c r="AS66" s="80"/>
      <c r="AT66" s="84"/>
      <c r="AU66" s="85">
        <f>SUM(AU16:AU63)</f>
        <v>0</v>
      </c>
      <c r="AV66" s="10"/>
      <c r="AW66" s="10"/>
      <c r="AX66" s="10"/>
      <c r="AY66" s="10"/>
      <c r="AZ66" s="10"/>
    </row>
    <row r="67" spans="1:52" ht="34.5" customHeight="1" x14ac:dyDescent="0.4">
      <c r="A67" s="86"/>
      <c r="B67" s="78"/>
      <c r="C67" s="78"/>
      <c r="D67" s="78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78"/>
      <c r="AN67" s="78"/>
      <c r="AO67" s="78"/>
      <c r="AP67" s="78"/>
      <c r="AQ67" s="88"/>
      <c r="AR67" s="80"/>
      <c r="AS67" s="89"/>
      <c r="AT67" s="84"/>
      <c r="AU67" s="82"/>
      <c r="AV67" s="10"/>
      <c r="AW67" s="10"/>
      <c r="AX67" s="10"/>
      <c r="AY67" s="10"/>
      <c r="AZ67" s="10"/>
    </row>
    <row r="68" spans="1:52" ht="34.5" customHeight="1" x14ac:dyDescent="0.4">
      <c r="A68" s="90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2" t="s">
        <v>91</v>
      </c>
      <c r="AR68" s="93"/>
      <c r="AS68" s="94"/>
      <c r="AT68" s="93"/>
      <c r="AU68" s="95">
        <f>SUM(AT65+AU66)</f>
        <v>0</v>
      </c>
      <c r="AV68" s="10"/>
      <c r="AW68" s="10"/>
      <c r="AX68" s="10"/>
      <c r="AY68" s="10"/>
      <c r="AZ68" s="10"/>
    </row>
    <row r="69" spans="1:52" ht="13.5" customHeight="1" x14ac:dyDescent="0.2">
      <c r="A69" s="96"/>
      <c r="C69" s="10"/>
      <c r="D69" s="10"/>
      <c r="AA69" s="148"/>
      <c r="AB69" s="109"/>
      <c r="AC69" s="109"/>
      <c r="AD69" s="109"/>
      <c r="AE69" s="109"/>
      <c r="AF69" s="109"/>
      <c r="AG69" s="109"/>
      <c r="AH69" s="109"/>
      <c r="AI69" s="109"/>
      <c r="AJ69" s="97"/>
      <c r="AK69" s="97"/>
      <c r="AL69" s="97"/>
      <c r="AM69" s="97"/>
      <c r="AN69" s="97"/>
      <c r="AO69" s="97"/>
      <c r="AP69" s="97"/>
      <c r="AQ69" s="97"/>
      <c r="AR69" s="10"/>
      <c r="AS69" s="10"/>
      <c r="AT69" s="10"/>
      <c r="AU69" s="10"/>
      <c r="AV69" s="10"/>
      <c r="AW69" s="10"/>
      <c r="AX69" s="10"/>
      <c r="AY69" s="10"/>
      <c r="AZ69" s="10"/>
    </row>
    <row r="70" spans="1:52" ht="12.75" customHeight="1" x14ac:dyDescent="0.2">
      <c r="A70" s="98"/>
      <c r="C70" s="10"/>
      <c r="D70" s="10"/>
      <c r="AR70" s="10"/>
      <c r="AS70" s="10"/>
      <c r="AT70" s="10"/>
      <c r="AU70" s="10"/>
      <c r="AV70" s="10"/>
      <c r="AW70" s="10"/>
      <c r="AX70" s="10"/>
      <c r="AY70" s="10"/>
      <c r="AZ70" s="10"/>
    </row>
    <row r="71" spans="1:52" ht="12.75" customHeight="1" x14ac:dyDescent="0.2">
      <c r="C71" s="10"/>
      <c r="D71" s="10"/>
      <c r="AR71" s="10"/>
      <c r="AS71" s="10"/>
      <c r="AT71" s="10"/>
      <c r="AU71" s="10"/>
      <c r="AV71" s="10"/>
      <c r="AW71" s="10"/>
      <c r="AX71" s="10"/>
      <c r="AY71" s="10"/>
      <c r="AZ71" s="10"/>
    </row>
    <row r="72" spans="1:52" ht="15.75" customHeight="1" x14ac:dyDescent="0.2"/>
    <row r="73" spans="1:52" ht="15.75" customHeight="1" x14ac:dyDescent="0.2"/>
    <row r="74" spans="1:52" ht="15.75" customHeight="1" x14ac:dyDescent="0.2"/>
    <row r="75" spans="1:52" ht="15.75" customHeight="1" x14ac:dyDescent="0.2"/>
    <row r="76" spans="1:52" ht="15.75" customHeight="1" x14ac:dyDescent="0.2"/>
    <row r="77" spans="1:52" ht="15.75" customHeight="1" x14ac:dyDescent="0.2"/>
    <row r="78" spans="1:52" ht="15.75" customHeight="1" x14ac:dyDescent="0.2"/>
    <row r="79" spans="1:52" ht="15.75" customHeight="1" x14ac:dyDescent="0.2"/>
    <row r="80" spans="1:5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83">
    <mergeCell ref="A20:C20"/>
    <mergeCell ref="A21:C21"/>
    <mergeCell ref="A22:C22"/>
    <mergeCell ref="A11:B14"/>
    <mergeCell ref="A16:C16"/>
    <mergeCell ref="A17:C17"/>
    <mergeCell ref="A18:C18"/>
    <mergeCell ref="A19:C19"/>
    <mergeCell ref="Q15:X15"/>
    <mergeCell ref="E6:M6"/>
    <mergeCell ref="E7:M7"/>
    <mergeCell ref="N7:T7"/>
    <mergeCell ref="E8:M8"/>
    <mergeCell ref="N8:P8"/>
    <mergeCell ref="Q8:R8"/>
    <mergeCell ref="AR11:AR14"/>
    <mergeCell ref="AS11:AS14"/>
    <mergeCell ref="AT11:AT14"/>
    <mergeCell ref="AU11:AU14"/>
    <mergeCell ref="V5:AC5"/>
    <mergeCell ref="V6:AC6"/>
    <mergeCell ref="V7:AC7"/>
    <mergeCell ref="AD7:AK7"/>
    <mergeCell ref="V8:AC8"/>
    <mergeCell ref="AD8:AK8"/>
    <mergeCell ref="AD10:AK10"/>
    <mergeCell ref="N6:T6"/>
    <mergeCell ref="AD6:AK6"/>
    <mergeCell ref="E9:M9"/>
    <mergeCell ref="N9:T9"/>
    <mergeCell ref="V9:AC9"/>
    <mergeCell ref="AD9:AK9"/>
    <mergeCell ref="S8:T8"/>
    <mergeCell ref="H1:AU4"/>
    <mergeCell ref="E5:M5"/>
    <mergeCell ref="N5:T5"/>
    <mergeCell ref="AD5:AK5"/>
    <mergeCell ref="AM5:AR5"/>
    <mergeCell ref="AM65:AQ65"/>
    <mergeCell ref="AM66:AQ66"/>
    <mergeCell ref="AA69:AI69"/>
    <mergeCell ref="A58:C58"/>
    <mergeCell ref="A59:C59"/>
    <mergeCell ref="A60:C60"/>
    <mergeCell ref="A61:C61"/>
    <mergeCell ref="A62:C62"/>
    <mergeCell ref="A63:C63"/>
    <mergeCell ref="A65:C65"/>
    <mergeCell ref="A53:C53"/>
    <mergeCell ref="A54:C54"/>
    <mergeCell ref="A55:C55"/>
    <mergeCell ref="A56:C56"/>
    <mergeCell ref="A57:C57"/>
    <mergeCell ref="A48:C48"/>
    <mergeCell ref="A49:C49"/>
    <mergeCell ref="Q51:W51"/>
    <mergeCell ref="A50:C50"/>
    <mergeCell ref="A52:C52"/>
    <mergeCell ref="A43:C43"/>
    <mergeCell ref="A44:C44"/>
    <mergeCell ref="A45:C45"/>
    <mergeCell ref="A46:C46"/>
    <mergeCell ref="A47:C47"/>
    <mergeCell ref="A38:C38"/>
    <mergeCell ref="A39:C39"/>
    <mergeCell ref="A40:C40"/>
    <mergeCell ref="A41:C41"/>
    <mergeCell ref="A42:C42"/>
    <mergeCell ref="A33:C33"/>
    <mergeCell ref="A34:C34"/>
    <mergeCell ref="A35:C35"/>
    <mergeCell ref="A36:C36"/>
    <mergeCell ref="A37:C37"/>
    <mergeCell ref="A28:C28"/>
    <mergeCell ref="A29:C29"/>
    <mergeCell ref="A30:C30"/>
    <mergeCell ref="A31:C31"/>
    <mergeCell ref="A32:C32"/>
    <mergeCell ref="A23:C23"/>
    <mergeCell ref="A24:C24"/>
    <mergeCell ref="A25:C25"/>
    <mergeCell ref="A26:C26"/>
    <mergeCell ref="A27:C27"/>
  </mergeCells>
  <dataValidations count="15">
    <dataValidation type="list" allowBlank="1" sqref="N8" xr:uid="{00000000-0002-0000-0500-000000000000}">
      <formula1>"RP,Vac Breaker,Double Check,Anti-Siphon"</formula1>
    </dataValidation>
    <dataValidation type="list" allowBlank="1" sqref="A52" xr:uid="{00000000-0002-0000-0500-000001000000}">
      <formula1>"Quick coupler replacement 3/4"",Quick coupler replacement 1"""</formula1>
    </dataValidation>
    <dataValidation type="list" allowBlank="1" sqref="AD6" xr:uid="{00000000-0002-0000-0500-000002000000}">
      <formula1>"1,2,3,4,5,6,7,8,9,10,A,B,C,D,E,F,G,H,I,J,K,L,M,N,O,P,Q,R,S,T,U,V"</formula1>
    </dataValidation>
    <dataValidation type="custom" allowBlank="1" showDropDown="1" sqref="N9" xr:uid="{00000000-0002-0000-0500-000003000000}">
      <formula1>OR(NOT(ISERROR(DATEVALUE(N9))), AND(ISNUMBER(N9), LEFT(CELL("format", N9))="D"))</formula1>
    </dataValidation>
    <dataValidation type="list" allowBlank="1" sqref="N6" xr:uid="{00000000-0002-0000-0500-000004000000}">
      <formula1>"Yes,No,Partial"</formula1>
    </dataValidation>
    <dataValidation type="list" allowBlank="1" sqref="N7" xr:uid="{00000000-0002-0000-0500-000005000000}">
      <formula1>"Potable,Recycled,Mixed"</formula1>
    </dataValidation>
    <dataValidation type="list" allowBlank="1" sqref="N5" xr:uid="{00000000-0002-0000-0500-000006000000}">
      <formula1>"Yes,No"</formula1>
    </dataValidation>
    <dataValidation type="list" allowBlank="1" sqref="D16:N16 P16:AQ16 D17:AQ50 D52:AQ63" xr:uid="{00000000-0002-0000-0500-000007000000}">
      <formula1>"1,2,3,4,5,6,7,8,9,10"</formula1>
    </dataValidation>
    <dataValidation type="list" allowBlank="1" sqref="S8" xr:uid="{00000000-0002-0000-0500-000008000000}">
      <formula1>"Single POC,Multiple POC"</formula1>
    </dataValidation>
    <dataValidation type="list" allowBlank="1" sqref="D12:AQ12" xr:uid="{00000000-0002-0000-0500-000009000000}">
      <formula1>"Bubbler,Spray Head,Part Circle Rotor,Full Circle Rotor,Mix Rotor,Multi Stream Rotor,MP Rotator,On grade drip,Subsurface Drip,Point Source Drip"</formula1>
    </dataValidation>
    <dataValidation type="list" allowBlank="1" sqref="AD8" xr:uid="{00000000-0002-0000-0500-00000A000000}">
      <formula1>"WeatherTrak ETPRO3,WeatherTrak ET PRO2,WeatherTrak OptiFlow,WEATHERMATIC SMARTLINE,ET WATER,RAINMASTER SENTAR II,IRRITROL MC,RainBird IQ,RainDial,Tucor,Baseline,Hunter 2 wire,Hunter Node"</formula1>
    </dataValidation>
    <dataValidation type="list" allowBlank="1" sqref="O16" xr:uid="{00000000-0002-0000-0500-00000B000000}">
      <formula1>"1,2,3,4,5,6,7,8,9,10,11,12,13,14,15,16,17,18,19,20,21,22,23,24,25,26,27,28,29,30"</formula1>
    </dataValidation>
    <dataValidation type="list" allowBlank="1" sqref="Q8" xr:uid="{00000000-0002-0000-0500-00000C000000}">
      <formula1>"1/2"",3/4"",1"",1.5"",2"",2.5"",3"",4"",6"""</formula1>
    </dataValidation>
    <dataValidation type="list" allowBlank="1" sqref="D11:AQ11" xr:uid="{00000000-0002-0000-0500-00000D000000}">
      <formula1>"Shrubs,Ground Cover,Turf,Grasses,Native Grasses,Tree"</formula1>
    </dataValidation>
    <dataValidation type="list" allowBlank="1" sqref="D13:AQ13" xr:uid="{00000000-0002-0000-0500-00000E000000}">
      <formula1>"0-10,11-20,21-30,31-40,41-50,51-60,61-70,71-80,81-90,91-100,101-110,111-120,121-130,131-140,141-150,151-160,161-170,171-180,181-190,191-200,201-210,211-220,221-230,231-240,241-250,251-260,261-270,271-280,281-290,291-300"</formula1>
    </dataValidation>
  </dataValidations>
  <printOptions horizontalCentered="1" gridLines="1"/>
  <pageMargins left="0.25" right="0.25" top="0.75" bottom="0.75" header="0" footer="0"/>
  <pageSetup pageOrder="overThenDown" orientation="landscape" cellComments="atEnd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1:A1000"/>
  <sheetViews>
    <sheetView workbookViewId="0"/>
  </sheetViews>
  <sheetFormatPr defaultColWidth="12.5703125" defaultRowHeight="15" customHeight="1" x14ac:dyDescent="0.2"/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ABF1DBDB822449B1B76E66AC3ABAD8" ma:contentTypeVersion="18" ma:contentTypeDescription="Create a new document." ma:contentTypeScope="" ma:versionID="b51f8159c27ac91eb06806eb7e27c002">
  <xsd:schema xmlns:xsd="http://www.w3.org/2001/XMLSchema" xmlns:xs="http://www.w3.org/2001/XMLSchema" xmlns:p="http://schemas.microsoft.com/office/2006/metadata/properties" xmlns:ns3="03c20ee3-d9e4-4ef5-b8a5-dc19f21b36cb" xmlns:ns4="f1d3991f-3ef4-4bd1-8c7e-dfd57d34966f" targetNamespace="http://schemas.microsoft.com/office/2006/metadata/properties" ma:root="true" ma:fieldsID="d4027b5d5a1b6cb733c8aaa8fd009108" ns3:_="" ns4:_="">
    <xsd:import namespace="03c20ee3-d9e4-4ef5-b8a5-dc19f21b36cb"/>
    <xsd:import namespace="f1d3991f-3ef4-4bd1-8c7e-dfd57d34966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OCR" minOccurs="0"/>
                <xsd:element ref="ns3:MediaServiceSystemTags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c20ee3-d9e4-4ef5-b8a5-dc19f21b36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3991f-3ef4-4bd1-8c7e-dfd57d34966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c20ee3-d9e4-4ef5-b8a5-dc19f21b36cb" xsi:nil="true"/>
  </documentManagement>
</p:properties>
</file>

<file path=customXml/itemProps1.xml><?xml version="1.0" encoding="utf-8"?>
<ds:datastoreItem xmlns:ds="http://schemas.openxmlformats.org/officeDocument/2006/customXml" ds:itemID="{F7276EA1-341C-465E-8BCC-D7040D7449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c20ee3-d9e4-4ef5-b8a5-dc19f21b36cb"/>
    <ds:schemaRef ds:uri="f1d3991f-3ef4-4bd1-8c7e-dfd57d3496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B8DC4A-4BF5-4125-A4C4-746C1566E8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9EC188-DCD7-44D6-A1BF-8F2F138246A4}">
  <ds:schemaRefs>
    <ds:schemaRef ds:uri="http://schemas.microsoft.com/office/2006/documentManagement/types"/>
    <ds:schemaRef ds:uri="03c20ee3-d9e4-4ef5-b8a5-dc19f21b36cb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f1d3991f-3ef4-4bd1-8c7e-dfd57d34966f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Controller A</vt:lpstr>
      <vt:lpstr>Controller B</vt:lpstr>
      <vt:lpstr>Controller C</vt:lpstr>
      <vt:lpstr>Controller D</vt:lpstr>
      <vt:lpstr>Controller E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Chavez</dc:creator>
  <cp:lastModifiedBy>Alex Chavez</cp:lastModifiedBy>
  <dcterms:created xsi:type="dcterms:W3CDTF">2026-05-08T17:17:28Z</dcterms:created>
  <dcterms:modified xsi:type="dcterms:W3CDTF">2026-05-08T17:18:59Z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0x010100AFABF1DBDB822449B1B76E66AC3ABAD8</vt:lpwstr>
  </property>
</Properties>
</file>